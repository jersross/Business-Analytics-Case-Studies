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westrockco-my.sharepoint.com/personal/tim_mcnaney_westrock_com/Documents/Purdue MBA/MGMT - Business Analytics/"/>
    </mc:Choice>
  </mc:AlternateContent>
  <xr:revisionPtr revIDLastSave="73" documentId="8_{3BAE7F75-D094-457D-BEEA-AD3448A3F94F}" xr6:coauthVersionLast="47" xr6:coauthVersionMax="47" xr10:uidLastSave="{2D2BC1F4-F2FC-4642-8182-8F4622EABB79}"/>
  <bookViews>
    <workbookView xWindow="-108" yWindow="-108" windowWidth="23256" windowHeight="12456" firstSheet="1" activeTab="1" xr2:uid="{CC6DEA4F-EEF5-4E52-9627-B3696B87892B}"/>
  </bookViews>
  <sheets>
    <sheet name="Calculation Page" sheetId="1" r:id="rId1"/>
    <sheet name="Presentation + mark reworked" sheetId="10" r:id="rId2"/>
    <sheet name="Presentation Info" sheetId="9" r:id="rId3"/>
    <sheet name="Tables (2)" sheetId="5" r:id="rId4"/>
    <sheet name="Table2" sheetId="4" r:id="rId5"/>
    <sheet name="5.21 Stock Price" sheetId="6" r:id="rId6"/>
  </sheets>
  <externalReferences>
    <externalReference r:id="rId7"/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9" l="1"/>
  <c r="C82" i="10"/>
  <c r="C81" i="10"/>
  <c r="C80" i="10"/>
  <c r="C72" i="10"/>
  <c r="C71" i="10"/>
  <c r="C59" i="10"/>
  <c r="C74" i="10" s="1"/>
  <c r="C73" i="10"/>
  <c r="C70" i="10"/>
  <c r="C75" i="10" s="1"/>
  <c r="C94" i="10"/>
  <c r="C93" i="10"/>
  <c r="C92" i="10"/>
  <c r="C91" i="10"/>
  <c r="C90" i="10"/>
  <c r="C89" i="10"/>
  <c r="C88" i="10"/>
  <c r="C87" i="10"/>
  <c r="C86" i="10"/>
  <c r="C79" i="10"/>
  <c r="C67" i="10"/>
  <c r="M28" i="1"/>
  <c r="M27" i="1"/>
  <c r="L27" i="1"/>
  <c r="L14" i="1"/>
  <c r="L13" i="1"/>
  <c r="L12" i="1"/>
  <c r="K17" i="1"/>
  <c r="K16" i="1"/>
  <c r="K15" i="1"/>
  <c r="K14" i="1"/>
  <c r="K13" i="1"/>
  <c r="K12" i="1"/>
  <c r="E38" i="1"/>
  <c r="F36" i="1"/>
  <c r="I29" i="1"/>
  <c r="C76" i="9"/>
  <c r="C83" i="9" s="1"/>
  <c r="C87" i="9" s="1"/>
  <c r="C99" i="9"/>
  <c r="B49" i="6"/>
  <c r="B52" i="6"/>
  <c r="C97" i="9"/>
  <c r="B15" i="6"/>
  <c r="B22" i="6"/>
  <c r="C69" i="9"/>
  <c r="C67" i="9"/>
  <c r="C70" i="9"/>
  <c r="C98" i="9"/>
  <c r="C100" i="9" s="1"/>
  <c r="C101" i="9" s="1"/>
  <c r="C96" i="9"/>
  <c r="C95" i="9"/>
  <c r="C94" i="9"/>
  <c r="C93" i="9"/>
  <c r="C92" i="9"/>
  <c r="C91" i="9"/>
  <c r="C90" i="9"/>
  <c r="C85" i="9"/>
  <c r="C84" i="9"/>
  <c r="C79" i="9"/>
  <c r="C78" i="9"/>
  <c r="C80" i="9"/>
  <c r="C73" i="9"/>
  <c r="C72" i="9"/>
  <c r="C71" i="9"/>
  <c r="V5" i="1"/>
  <c r="V4" i="1"/>
  <c r="B47" i="6"/>
  <c r="B46" i="6"/>
  <c r="B45" i="6"/>
  <c r="B43" i="6"/>
  <c r="B42" i="6"/>
  <c r="B41" i="6"/>
  <c r="B40" i="6"/>
  <c r="B39" i="6"/>
  <c r="B38" i="6"/>
  <c r="G8" i="6"/>
  <c r="G16" i="6"/>
  <c r="G14" i="6"/>
  <c r="N11" i="4"/>
  <c r="G4" i="6"/>
  <c r="G11" i="6" s="1"/>
  <c r="G5" i="6"/>
  <c r="B7" i="6"/>
  <c r="B13" i="6"/>
  <c r="B24" i="6" s="1"/>
  <c r="B30" i="6" s="1"/>
  <c r="B16" i="6"/>
  <c r="B23" i="6" s="1"/>
  <c r="B17" i="6"/>
  <c r="B18" i="6"/>
  <c r="B29" i="6" s="1"/>
  <c r="B25" i="6"/>
  <c r="B28" i="6"/>
  <c r="B38" i="1"/>
  <c r="D40" i="1"/>
  <c r="F23" i="5"/>
  <c r="B9" i="1"/>
  <c r="B24" i="1" s="1"/>
  <c r="B8" i="1"/>
  <c r="F14" i="5"/>
  <c r="O10" i="4"/>
  <c r="E12" i="4"/>
  <c r="E18" i="4" s="1"/>
  <c r="G30" i="5"/>
  <c r="F9" i="5"/>
  <c r="F7" i="5"/>
  <c r="E8" i="5"/>
  <c r="C7" i="5"/>
  <c r="M12" i="4"/>
  <c r="G8" i="5"/>
  <c r="E14" i="5"/>
  <c r="E16" i="5"/>
  <c r="E24" i="5"/>
  <c r="E36" i="5" s="1"/>
  <c r="E38" i="5" s="1"/>
  <c r="C9" i="4"/>
  <c r="I8" i="4" s="1"/>
  <c r="C10" i="4"/>
  <c r="G14" i="4" s="1"/>
  <c r="G10" i="4"/>
  <c r="P11" i="4"/>
  <c r="N13" i="4"/>
  <c r="P13" i="4"/>
  <c r="P15" i="4"/>
  <c r="I16" i="4"/>
  <c r="Q16" i="4"/>
  <c r="D20" i="1"/>
  <c r="D4" i="1"/>
  <c r="E4" i="1" s="1"/>
  <c r="F4" i="1" s="1"/>
  <c r="V6" i="1"/>
  <c r="P8" i="1"/>
  <c r="P7" i="1"/>
  <c r="P6" i="1"/>
  <c r="P5" i="1"/>
  <c r="P4" i="1"/>
  <c r="B25" i="1"/>
  <c r="B35" i="1"/>
  <c r="B32" i="1"/>
  <c r="B37" i="1" s="1"/>
  <c r="C78" i="10" l="1"/>
  <c r="C83" i="10" s="1"/>
  <c r="C95" i="10"/>
  <c r="C96" i="10" s="1"/>
  <c r="C97" i="10" s="1"/>
  <c r="J44" i="1"/>
  <c r="J48" i="1"/>
  <c r="J36" i="1"/>
  <c r="J32" i="1"/>
  <c r="J40" i="1"/>
  <c r="E42" i="1"/>
  <c r="F44" i="1" s="1"/>
  <c r="G46" i="1" s="1"/>
  <c r="E22" i="1"/>
  <c r="F20" i="1" s="1"/>
  <c r="G22" i="1" s="1"/>
  <c r="H20" i="1" s="1"/>
  <c r="I20" i="1" s="1"/>
  <c r="E18" i="1"/>
  <c r="F16" i="1" s="1"/>
  <c r="G18" i="1" s="1"/>
  <c r="G38" i="1"/>
  <c r="B11" i="1"/>
  <c r="B14" i="1" s="1"/>
  <c r="B26" i="6"/>
  <c r="B32" i="6"/>
  <c r="B45" i="1"/>
  <c r="C45" i="1" s="1"/>
  <c r="G14" i="1"/>
  <c r="H12" i="1" s="1"/>
  <c r="F24" i="1"/>
  <c r="G26" i="1" s="1"/>
  <c r="F25" i="5"/>
  <c r="G10" i="5"/>
  <c r="H9" i="5"/>
  <c r="G24" i="5"/>
  <c r="F16" i="5"/>
  <c r="E30" i="5"/>
  <c r="E32" i="5" s="1"/>
  <c r="G6" i="5"/>
  <c r="G12" i="4"/>
  <c r="G18" i="4" s="1"/>
  <c r="I10" i="4"/>
  <c r="N18" i="4"/>
  <c r="P9" i="4"/>
  <c r="P18" i="4" s="1"/>
  <c r="H13" i="4"/>
  <c r="F13" i="4"/>
  <c r="Q14" i="4"/>
  <c r="Q12" i="4"/>
  <c r="H11" i="4"/>
  <c r="H9" i="4"/>
  <c r="H15" i="4"/>
  <c r="O14" i="4"/>
  <c r="O12" i="4"/>
  <c r="F11" i="4"/>
  <c r="F18" i="4" s="1"/>
  <c r="I14" i="4"/>
  <c r="I18" i="4" s="1"/>
  <c r="M18" i="4"/>
  <c r="Q10" i="4"/>
  <c r="Q8" i="4"/>
  <c r="I12" i="4"/>
  <c r="E5" i="1"/>
  <c r="F6" i="1" s="1"/>
  <c r="G7" i="1" s="1"/>
  <c r="H8" i="1" s="1"/>
  <c r="I8" i="1" s="1"/>
  <c r="B39" i="1"/>
  <c r="G5" i="1"/>
  <c r="H6" i="1" s="1"/>
  <c r="I6" i="1" s="1"/>
  <c r="B12" i="1"/>
  <c r="B46" i="1" s="1"/>
  <c r="C46" i="1" s="1"/>
  <c r="H48" i="1" l="1"/>
  <c r="I48" i="1" s="1"/>
  <c r="H44" i="1"/>
  <c r="I44" i="1" s="1"/>
  <c r="F40" i="1"/>
  <c r="G42" i="1" s="1"/>
  <c r="H40" i="1" s="1"/>
  <c r="I40" i="1" s="1"/>
  <c r="G34" i="1"/>
  <c r="I12" i="1"/>
  <c r="H16" i="1"/>
  <c r="I16" i="1" s="1"/>
  <c r="H28" i="1"/>
  <c r="I28" i="1" s="1"/>
  <c r="H24" i="1"/>
  <c r="I24" i="1" s="1"/>
  <c r="O18" i="4"/>
  <c r="Q18" i="4"/>
  <c r="F30" i="5"/>
  <c r="F32" i="5" s="1"/>
  <c r="F36" i="5"/>
  <c r="F38" i="5" s="1"/>
  <c r="H5" i="5"/>
  <c r="G14" i="5"/>
  <c r="G22" i="5"/>
  <c r="H7" i="5"/>
  <c r="G16" i="5"/>
  <c r="H25" i="5"/>
  <c r="I10" i="5"/>
  <c r="I26" i="5" s="1"/>
  <c r="G26" i="5"/>
  <c r="H11" i="5"/>
  <c r="H18" i="4"/>
  <c r="O8" i="1"/>
  <c r="Q8" i="1" s="1"/>
  <c r="B15" i="1"/>
  <c r="B51" i="1" s="1"/>
  <c r="F5" i="1"/>
  <c r="G6" i="1" s="1"/>
  <c r="H7" i="1" s="1"/>
  <c r="I7" i="1" s="1"/>
  <c r="J7" i="1" s="1"/>
  <c r="G4" i="1"/>
  <c r="H4" i="1" s="1"/>
  <c r="I4" i="1" s="1"/>
  <c r="O6" i="1"/>
  <c r="Q6" i="1" s="1"/>
  <c r="H32" i="1" l="1"/>
  <c r="H36" i="1"/>
  <c r="I36" i="1" s="1"/>
  <c r="L28" i="1"/>
  <c r="H29" i="1"/>
  <c r="K27" i="1" s="1"/>
  <c r="I8" i="5"/>
  <c r="I24" i="5" s="1"/>
  <c r="H23" i="5"/>
  <c r="G36" i="5"/>
  <c r="G38" i="5" s="1"/>
  <c r="G32" i="5"/>
  <c r="I12" i="5"/>
  <c r="I28" i="5" s="1"/>
  <c r="H27" i="5"/>
  <c r="I4" i="5"/>
  <c r="H16" i="5"/>
  <c r="I6" i="5"/>
  <c r="I22" i="5" s="1"/>
  <c r="H14" i="5"/>
  <c r="H21" i="5"/>
  <c r="H5" i="1"/>
  <c r="B20" i="1"/>
  <c r="B22" i="1" s="1"/>
  <c r="B33" i="1" s="1"/>
  <c r="B40" i="1" s="1"/>
  <c r="B41" i="1" s="1"/>
  <c r="B26" i="1"/>
  <c r="B27" i="1" s="1"/>
  <c r="O7" i="1"/>
  <c r="Q7" i="1" s="1"/>
  <c r="J6" i="1"/>
  <c r="K6" i="1" s="1"/>
  <c r="O4" i="1"/>
  <c r="I32" i="1" l="1"/>
  <c r="I49" i="1" s="1"/>
  <c r="L54" i="1" s="1"/>
  <c r="J49" i="1"/>
  <c r="H49" i="1"/>
  <c r="K54" i="1" s="1"/>
  <c r="I5" i="1"/>
  <c r="J4" i="1" s="1"/>
  <c r="I20" i="5"/>
  <c r="I14" i="5"/>
  <c r="I16" i="5"/>
  <c r="H30" i="5"/>
  <c r="H32" i="5" s="1"/>
  <c r="H36" i="5"/>
  <c r="H38" i="5" s="1"/>
  <c r="O5" i="1"/>
  <c r="Q5" i="1" s="1"/>
  <c r="Q4" i="1"/>
  <c r="R10" i="1" s="1"/>
  <c r="L55" i="1" l="1"/>
  <c r="R11" i="1"/>
  <c r="J5" i="1"/>
  <c r="K5" i="1" s="1"/>
  <c r="L5" i="1" s="1"/>
  <c r="P10" i="1"/>
  <c r="P11" i="1" s="1"/>
  <c r="I30" i="5"/>
  <c r="I32" i="5" s="1"/>
  <c r="I36" i="5"/>
  <c r="I38" i="5" s="1"/>
  <c r="K4" i="1" l="1"/>
  <c r="L4" i="1" s="1"/>
  <c r="M4" i="1" s="1"/>
</calcChain>
</file>

<file path=xl/sharedStrings.xml><?xml version="1.0" encoding="utf-8"?>
<sst xmlns="http://schemas.openxmlformats.org/spreadsheetml/2006/main" count="358" uniqueCount="181">
  <si>
    <t>Input</t>
  </si>
  <si>
    <t>Value</t>
  </si>
  <si>
    <t>Stock price today (S0)</t>
  </si>
  <si>
    <t>Stock Price Lattice</t>
  </si>
  <si>
    <t>Year 4 Call Off Pay</t>
  </si>
  <si>
    <t>Option Values</t>
  </si>
  <si>
    <t>Joseph Probability Analysis</t>
  </si>
  <si>
    <t>Final Results Summary</t>
  </si>
  <si>
    <t xml:space="preserve">Risk free rate (r) </t>
  </si>
  <si>
    <t>Year 0</t>
  </si>
  <si>
    <t>Year 1</t>
  </si>
  <si>
    <t>Year 2</t>
  </si>
  <si>
    <t>Year 3</t>
  </si>
  <si>
    <t>Year 4</t>
  </si>
  <si>
    <t>Year 4 pay off</t>
  </si>
  <si>
    <t>Year 3 Option Value</t>
  </si>
  <si>
    <t>Year 2 Option Value</t>
  </si>
  <si>
    <t>Year 1 Option Value</t>
  </si>
  <si>
    <t>Year 0 Option Value</t>
  </si>
  <si>
    <t>Prob (Joseph 50/50)</t>
  </si>
  <si>
    <t>Year 4 Stock Price</t>
  </si>
  <si>
    <t>Year 4 Option Pay off</t>
  </si>
  <si>
    <t>Year 1 Binomial</t>
  </si>
  <si>
    <t>Up factor</t>
  </si>
  <si>
    <t>Year 4 Binomial</t>
  </si>
  <si>
    <t>Down factor</t>
  </si>
  <si>
    <t>Joseph 4yr PV Option</t>
  </si>
  <si>
    <t>Strike K</t>
  </si>
  <si>
    <t>Value of 20k options</t>
  </si>
  <si>
    <t>Metric</t>
  </si>
  <si>
    <t>Joseph Method</t>
  </si>
  <si>
    <t>Binomial Model</t>
  </si>
  <si>
    <t>Formula ((1+r)*(1+/-0.3))</t>
  </si>
  <si>
    <t>Binomial</t>
  </si>
  <si>
    <t>Present value of stock</t>
  </si>
  <si>
    <t>Up Factor Multiplier (u)</t>
  </si>
  <si>
    <t>Option value per share</t>
  </si>
  <si>
    <t>Down Factor Multiplier (d)</t>
  </si>
  <si>
    <t>Options granted</t>
  </si>
  <si>
    <t>Expected S4 (real world)</t>
  </si>
  <si>
    <t>Expected option pay off (year 4)</t>
  </si>
  <si>
    <t>Total option value</t>
  </si>
  <si>
    <t>S1 Up</t>
  </si>
  <si>
    <t>S0*u</t>
  </si>
  <si>
    <t xml:space="preserve">Year 4 Pay Off </t>
  </si>
  <si>
    <t>Expected S4 discount (risk neutral)</t>
  </si>
  <si>
    <t>Expected pay off year 4</t>
  </si>
  <si>
    <t>S1 Down</t>
  </si>
  <si>
    <t>S0*d</t>
  </si>
  <si>
    <t>Payoff if up</t>
  </si>
  <si>
    <t>Payoff = max(S-K,0)</t>
  </si>
  <si>
    <t>Payoff if down</t>
  </si>
  <si>
    <t>Prob up</t>
  </si>
  <si>
    <t>Prob down</t>
  </si>
  <si>
    <t>Expected payoff (Yr 1)</t>
  </si>
  <si>
    <t>Option Value Today</t>
  </si>
  <si>
    <t>pv(</t>
  </si>
  <si>
    <t>Risk neutral (p)</t>
  </si>
  <si>
    <t>Risk Free rate</t>
  </si>
  <si>
    <t>Risk neutral expected payoff (yr 1)</t>
  </si>
  <si>
    <t>Year 4 Payoff</t>
  </si>
  <si>
    <t>Year 4 Payoff Binomial</t>
  </si>
  <si>
    <t>Binomial option value today</t>
  </si>
  <si>
    <t>Discounted Price</t>
  </si>
  <si>
    <t>Expected Stock Value</t>
  </si>
  <si>
    <t>MARK</t>
  </si>
  <si>
    <t>Average</t>
  </si>
  <si>
    <t>Share purchased</t>
  </si>
  <si>
    <t>Binomial Asset Pricing</t>
  </si>
  <si>
    <t>Options sold</t>
  </si>
  <si>
    <t>S0</t>
  </si>
  <si>
    <t>Option price</t>
  </si>
  <si>
    <t>Mark's cash invested</t>
  </si>
  <si>
    <t>Risk free rate (r)</t>
  </si>
  <si>
    <t>Cost of shares today</t>
  </si>
  <si>
    <t>Amount borrowed</t>
  </si>
  <si>
    <t>Loan repayment in 1yr</t>
  </si>
  <si>
    <t>Option premium received</t>
  </si>
  <si>
    <t>Premium value in 1yr if invested risk free</t>
  </si>
  <si>
    <t>State</t>
  </si>
  <si>
    <t>Stock price in 1yr</t>
  </si>
  <si>
    <t>Value of shares</t>
  </si>
  <si>
    <t>Up</t>
  </si>
  <si>
    <t>Down</t>
  </si>
  <si>
    <t>``</t>
  </si>
  <si>
    <t>Average (weighted)</t>
  </si>
  <si>
    <t>p test</t>
  </si>
  <si>
    <t>Option value for p test</t>
  </si>
  <si>
    <t>Future Value - Risk Free</t>
  </si>
  <si>
    <t>PV</t>
  </si>
  <si>
    <t>Rate</t>
  </si>
  <si>
    <t>n</t>
  </si>
  <si>
    <t>FV</t>
  </si>
  <si>
    <t>Year 4 Pay Off</t>
  </si>
  <si>
    <t>Four-Period  Stock Price and Option Payoff Tree</t>
  </si>
  <si>
    <t>Model</t>
  </si>
  <si>
    <t>Avg Year 4</t>
  </si>
  <si>
    <t>Avg Pay Off</t>
  </si>
  <si>
    <t>Marks–Joseph Option Deal — Financial Summary</t>
  </si>
  <si>
    <t>Inputs</t>
  </si>
  <si>
    <t>Personal Investment</t>
  </si>
  <si>
    <t>Annual interest rate</t>
  </si>
  <si>
    <t>Interest amount (given)</t>
  </si>
  <si>
    <t>Option premium per share</t>
  </si>
  <si>
    <t>Contract shares (units)</t>
  </si>
  <si>
    <t>Strike price</t>
  </si>
  <si>
    <t>Market price (up case)</t>
  </si>
  <si>
    <t>Owned shares initially</t>
  </si>
  <si>
    <t>Down-case sale price</t>
  </si>
  <si>
    <t>Loan Principal</t>
  </si>
  <si>
    <t>Premium received by Mark (given)</t>
  </si>
  <si>
    <t>Mark's Profit / Loss</t>
  </si>
  <si>
    <t>UP CASE</t>
  </si>
  <si>
    <t>Premium received</t>
  </si>
  <si>
    <t>Proceeds from selling (Up stock price * owned shares)</t>
  </si>
  <si>
    <t>Less cost of original shares</t>
  </si>
  <si>
    <t>Less loss on options sold</t>
  </si>
  <si>
    <t>Less interest on loan</t>
  </si>
  <si>
    <t>Net proceeds (UP)</t>
  </si>
  <si>
    <t>DOWN CASE</t>
  </si>
  <si>
    <t>Proceeds from selling (Down price×Owned)</t>
  </si>
  <si>
    <t>Net proceeds (DOWN)</t>
  </si>
  <si>
    <t>Joseph's Option Math</t>
  </si>
  <si>
    <t>Personal Investment (premium paid)</t>
  </si>
  <si>
    <t>Option premium per share (Joe)</t>
  </si>
  <si>
    <t>Up stock price</t>
  </si>
  <si>
    <t>Down stock price</t>
  </si>
  <si>
    <t>Total premium paid</t>
  </si>
  <si>
    <t>Option payoff if UP</t>
  </si>
  <si>
    <t>Option payoff if DOWN</t>
  </si>
  <si>
    <t>Profit if UP (Payoff−Premium)</t>
  </si>
  <si>
    <t>Expected profit (p = 0.5) — gross</t>
  </si>
  <si>
    <t>Expected net profit (p = 0.5)</t>
  </si>
  <si>
    <t>Key Derived Calculations</t>
  </si>
  <si>
    <t>Total premium from per-share input (calc)</t>
  </si>
  <si>
    <t>Stock option premium by Joseph (given)</t>
  </si>
  <si>
    <t>Mark proceeds when Joseph exercises (Strike×Shares)</t>
  </si>
  <si>
    <t>Cost of extra shares (Up price×(Shares−Owned))</t>
  </si>
  <si>
    <t>Repayment (Loan + Interest)</t>
  </si>
  <si>
    <t>Proceeds from selling (Strike×Shares)</t>
  </si>
  <si>
    <t>Less loan repayment (Loan+Interest)</t>
  </si>
  <si>
    <t>Less cost of extra shares</t>
  </si>
  <si>
    <t>Net profit (UP)</t>
  </si>
  <si>
    <t>Net profit (DOWN)</t>
  </si>
  <si>
    <t>Expected profit after personal investment (p = 0.5)</t>
  </si>
  <si>
    <t>JOSEPH'S ASSUMPTION</t>
  </si>
  <si>
    <t>u</t>
  </si>
  <si>
    <t>d</t>
  </si>
  <si>
    <t>r</t>
  </si>
  <si>
    <t>p_J</t>
  </si>
  <si>
    <t>p_Q</t>
  </si>
  <si>
    <t>K</t>
  </si>
  <si>
    <t>Expected Stock Price (Joseph)</t>
  </si>
  <si>
    <t>Expected Stock Price (Risk-neutral)</t>
  </si>
  <si>
    <t>Call Payoff Lattice: Payoff = MAX(S - K, 0)</t>
  </si>
  <si>
    <t>Expected Call Payoff (Joseph)</t>
  </si>
  <si>
    <t>Discounted to Year 0 (Joseph)</t>
  </si>
  <si>
    <t>Expected Call Payoff (Risk-neutral)</t>
  </si>
  <si>
    <t>Discounted to Year 0 (Risk-neutral)</t>
  </si>
  <si>
    <t>USING JOSEPH'S ASSUMPTIONS</t>
  </si>
  <si>
    <t>USING RISK NEUTRAL PROBABILITY</t>
  </si>
  <si>
    <t>EXPECTED STOCK OPTION PREMIUM PER STOCK UNIT FROM 2013 TO 2017</t>
  </si>
  <si>
    <t>p_Q (RN)</t>
  </si>
  <si>
    <t>uPrime</t>
  </si>
  <si>
    <t>dPrime</t>
  </si>
  <si>
    <t>Joseph's Profit / Loss</t>
  </si>
  <si>
    <t>Premium paid (total)</t>
  </si>
  <si>
    <t>Up-case intrinsic value</t>
  </si>
  <si>
    <t>Profit (up)</t>
  </si>
  <si>
    <t>Profit (down)</t>
  </si>
  <si>
    <t>Loan Principle</t>
  </si>
  <si>
    <t>Expected profit at p=0.5</t>
  </si>
  <si>
    <t>Stock option premium by Joseph</t>
  </si>
  <si>
    <t>Mark profit when Joseph exercises his option</t>
  </si>
  <si>
    <t>Expected profit at p=0.25</t>
  </si>
  <si>
    <t>Mark's investment when Joseph exercises his options</t>
  </si>
  <si>
    <t>Mark's reward if Joseph does not exercise his option</t>
  </si>
  <si>
    <t>Proceeds from selling</t>
  </si>
  <si>
    <t xml:space="preserve">Less loan repayment </t>
  </si>
  <si>
    <t>Profit if UP</t>
  </si>
  <si>
    <t>Expected profit (p = 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</si>
</sst>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$-409]#,##0.00"/>
    <numFmt numFmtId="165" formatCode="0.000"/>
    <numFmt numFmtId="166" formatCode="&quot;$&quot;#,##0.00_-"/>
    <numFmt numFmtId="167" formatCode="&quot;$&quot;#,##0.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name val="Calibri"/>
    </font>
    <font>
      <b/>
      <sz val="14"/>
      <color rgb="FFFFFFFF"/>
      <name val="Calibri"/>
    </font>
    <font>
      <b/>
      <sz val="14"/>
      <name val="Calibri"/>
    </font>
    <font>
      <i/>
      <sz val="11"/>
      <color rgb="FF666666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DCE6F1"/>
        <bgColor rgb="FFDCE6F1"/>
      </patternFill>
    </fill>
    <fill>
      <patternFill patternType="solid">
        <fgColor rgb="FFDEEAF6"/>
        <bgColor rgb="FFDEEAF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A6A6A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medium">
        <color indexed="64"/>
      </left>
      <right/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/>
      <top style="thin">
        <color rgb="FFB7B7B7"/>
      </top>
      <bottom style="thin">
        <color rgb="FFB7B7B7"/>
      </bottom>
      <diagonal/>
    </border>
    <border>
      <left/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medium">
        <color indexed="64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medium">
        <color indexed="64"/>
      </right>
      <top/>
      <bottom style="thin">
        <color rgb="FFB7B7B7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vertical="center"/>
    </xf>
    <xf numFmtId="0" fontId="2" fillId="3" borderId="17" xfId="0" applyFont="1" applyFill="1" applyBorder="1"/>
    <xf numFmtId="0" fontId="2" fillId="3" borderId="18" xfId="0" applyFont="1" applyFill="1" applyBorder="1"/>
    <xf numFmtId="0" fontId="2" fillId="3" borderId="24" xfId="0" applyFont="1" applyFill="1" applyBorder="1"/>
    <xf numFmtId="44" fontId="0" fillId="3" borderId="12" xfId="1" applyFont="1" applyFill="1" applyBorder="1" applyAlignment="1">
      <alignment horizontal="center" vertical="center"/>
    </xf>
    <xf numFmtId="44" fontId="0" fillId="3" borderId="8" xfId="1" applyFont="1" applyFill="1" applyBorder="1" applyAlignment="1">
      <alignment horizontal="center" vertical="center"/>
    </xf>
    <xf numFmtId="44" fontId="0" fillId="3" borderId="25" xfId="1" applyFont="1" applyFill="1" applyBorder="1" applyAlignment="1">
      <alignment horizontal="center" vertical="center"/>
    </xf>
    <xf numFmtId="44" fontId="0" fillId="3" borderId="14" xfId="1" applyFont="1" applyFill="1" applyBorder="1" applyAlignment="1">
      <alignment horizontal="center" vertical="center"/>
    </xf>
    <xf numFmtId="44" fontId="0" fillId="3" borderId="15" xfId="1" applyFont="1" applyFill="1" applyBorder="1" applyAlignment="1">
      <alignment horizontal="center" vertical="center"/>
    </xf>
    <xf numFmtId="44" fontId="0" fillId="3" borderId="26" xfId="1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30" xfId="0" applyFont="1" applyFill="1" applyBorder="1"/>
    <xf numFmtId="44" fontId="0" fillId="2" borderId="31" xfId="0" applyNumberFormat="1" applyFill="1" applyBorder="1"/>
    <xf numFmtId="44" fontId="0" fillId="2" borderId="32" xfId="0" applyNumberFormat="1" applyFill="1" applyBorder="1"/>
    <xf numFmtId="0" fontId="2" fillId="4" borderId="27" xfId="0" applyFont="1" applyFill="1" applyBorder="1"/>
    <xf numFmtId="0" fontId="2" fillId="4" borderId="18" xfId="0" applyFont="1" applyFill="1" applyBorder="1"/>
    <xf numFmtId="0" fontId="2" fillId="4" borderId="19" xfId="0" applyFont="1" applyFill="1" applyBorder="1"/>
    <xf numFmtId="44" fontId="0" fillId="4" borderId="28" xfId="0" applyNumberFormat="1" applyFill="1" applyBorder="1"/>
    <xf numFmtId="44" fontId="0" fillId="4" borderId="8" xfId="0" applyNumberFormat="1" applyFill="1" applyBorder="1"/>
    <xf numFmtId="44" fontId="0" fillId="4" borderId="13" xfId="0" applyNumberFormat="1" applyFill="1" applyBorder="1"/>
    <xf numFmtId="0" fontId="0" fillId="4" borderId="13" xfId="0" applyFill="1" applyBorder="1"/>
    <xf numFmtId="0" fontId="0" fillId="4" borderId="8" xfId="0" applyFill="1" applyBorder="1"/>
    <xf numFmtId="0" fontId="0" fillId="4" borderId="29" xfId="0" applyFill="1" applyBorder="1"/>
    <xf numFmtId="0" fontId="0" fillId="4" borderId="15" xfId="0" applyFill="1" applyBorder="1"/>
    <xf numFmtId="0" fontId="0" fillId="4" borderId="16" xfId="0" applyFill="1" applyBorder="1"/>
    <xf numFmtId="0" fontId="2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44" fontId="0" fillId="5" borderId="12" xfId="0" applyNumberFormat="1" applyFill="1" applyBorder="1"/>
    <xf numFmtId="0" fontId="0" fillId="5" borderId="8" xfId="0" applyFill="1" applyBorder="1"/>
    <xf numFmtId="44" fontId="0" fillId="5" borderId="13" xfId="0" applyNumberFormat="1" applyFill="1" applyBorder="1"/>
    <xf numFmtId="44" fontId="0" fillId="5" borderId="14" xfId="0" applyNumberFormat="1" applyFill="1" applyBorder="1"/>
    <xf numFmtId="0" fontId="0" fillId="5" borderId="15" xfId="0" applyFill="1" applyBorder="1"/>
    <xf numFmtId="44" fontId="0" fillId="5" borderId="16" xfId="0" applyNumberFormat="1" applyFill="1" applyBorder="1"/>
    <xf numFmtId="0" fontId="0" fillId="5" borderId="9" xfId="0" applyFill="1" applyBorder="1"/>
    <xf numFmtId="0" fontId="0" fillId="5" borderId="10" xfId="0" applyFill="1" applyBorder="1"/>
    <xf numFmtId="44" fontId="0" fillId="5" borderId="11" xfId="0" applyNumberFormat="1" applyFill="1" applyBorder="1"/>
    <xf numFmtId="0" fontId="0" fillId="5" borderId="14" xfId="0" applyFill="1" applyBorder="1"/>
    <xf numFmtId="44" fontId="0" fillId="5" borderId="10" xfId="1" applyFont="1" applyFill="1" applyBorder="1"/>
    <xf numFmtId="44" fontId="0" fillId="5" borderId="15" xfId="1" applyFont="1" applyFill="1" applyBorder="1"/>
    <xf numFmtId="0" fontId="2" fillId="6" borderId="4" xfId="0" applyFont="1" applyFill="1" applyBorder="1"/>
    <xf numFmtId="44" fontId="2" fillId="6" borderId="5" xfId="1" applyFont="1" applyFill="1" applyBorder="1"/>
    <xf numFmtId="0" fontId="2" fillId="6" borderId="6" xfId="0" applyFont="1" applyFill="1" applyBorder="1"/>
    <xf numFmtId="44" fontId="2" fillId="6" borderId="7" xfId="1" applyFont="1" applyFill="1" applyBorder="1"/>
    <xf numFmtId="0" fontId="2" fillId="3" borderId="37" xfId="0" applyFont="1" applyFill="1" applyBorder="1" applyAlignment="1">
      <alignment horizontal="center" vertical="center"/>
    </xf>
    <xf numFmtId="44" fontId="0" fillId="3" borderId="0" xfId="1" applyFont="1" applyFill="1" applyBorder="1" applyAlignment="1">
      <alignment horizontal="center" vertical="center"/>
    </xf>
    <xf numFmtId="44" fontId="0" fillId="3" borderId="36" xfId="1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44" fontId="0" fillId="3" borderId="39" xfId="1" applyFont="1" applyFill="1" applyBorder="1" applyAlignment="1">
      <alignment horizontal="center" vertical="center"/>
    </xf>
    <xf numFmtId="44" fontId="0" fillId="3" borderId="40" xfId="1" applyFont="1" applyFill="1" applyBorder="1" applyAlignment="1">
      <alignment horizontal="center" vertical="center"/>
    </xf>
    <xf numFmtId="0" fontId="3" fillId="0" borderId="0" xfId="0" applyFont="1"/>
    <xf numFmtId="165" fontId="0" fillId="0" borderId="49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43" xfId="0" applyNumberFormat="1" applyBorder="1"/>
    <xf numFmtId="164" fontId="0" fillId="0" borderId="42" xfId="0" applyNumberFormat="1" applyBorder="1"/>
    <xf numFmtId="164" fontId="0" fillId="0" borderId="41" xfId="0" applyNumberFormat="1" applyBorder="1"/>
    <xf numFmtId="0" fontId="0" fillId="0" borderId="33" xfId="0" applyBorder="1"/>
    <xf numFmtId="44" fontId="0" fillId="0" borderId="35" xfId="0" applyNumberFormat="1" applyBorder="1"/>
    <xf numFmtId="9" fontId="0" fillId="0" borderId="0" xfId="3" applyFont="1"/>
    <xf numFmtId="0" fontId="2" fillId="4" borderId="38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44" fontId="0" fillId="4" borderId="39" xfId="1" applyFont="1" applyFill="1" applyBorder="1" applyAlignment="1">
      <alignment horizontal="center" vertical="center"/>
    </xf>
    <xf numFmtId="44" fontId="0" fillId="4" borderId="0" xfId="1" applyFont="1" applyFill="1" applyBorder="1" applyAlignment="1">
      <alignment horizontal="center" vertical="center"/>
    </xf>
    <xf numFmtId="44" fontId="0" fillId="4" borderId="40" xfId="1" applyFont="1" applyFill="1" applyBorder="1" applyAlignment="1">
      <alignment horizontal="center" vertical="center"/>
    </xf>
    <xf numFmtId="44" fontId="0" fillId="4" borderId="36" xfId="1" applyFont="1" applyFill="1" applyBorder="1" applyAlignment="1">
      <alignment horizontal="center" vertical="center"/>
    </xf>
    <xf numFmtId="8" fontId="0" fillId="0" borderId="0" xfId="0" applyNumberFormat="1"/>
    <xf numFmtId="0" fontId="4" fillId="8" borderId="56" xfId="0" applyFont="1" applyFill="1" applyBorder="1" applyAlignment="1">
      <alignment horizontal="center"/>
    </xf>
    <xf numFmtId="166" fontId="0" fillId="0" borderId="56" xfId="0" applyNumberFormat="1" applyBorder="1" applyAlignment="1">
      <alignment horizontal="center"/>
    </xf>
    <xf numFmtId="166" fontId="4" fillId="0" borderId="56" xfId="0" applyNumberFormat="1" applyFont="1" applyBorder="1" applyAlignment="1">
      <alignment horizontal="center"/>
    </xf>
    <xf numFmtId="0" fontId="4" fillId="9" borderId="57" xfId="0" applyFont="1" applyFill="1" applyBorder="1" applyAlignment="1">
      <alignment horizontal="center" vertical="center"/>
    </xf>
    <xf numFmtId="0" fontId="0" fillId="0" borderId="8" xfId="0" applyBorder="1"/>
    <xf numFmtId="44" fontId="0" fillId="0" borderId="8" xfId="1" applyFont="1" applyBorder="1"/>
    <xf numFmtId="43" fontId="0" fillId="0" borderId="8" xfId="2" applyFont="1" applyBorder="1"/>
    <xf numFmtId="166" fontId="0" fillId="0" borderId="61" xfId="0" applyNumberFormat="1" applyBorder="1" applyAlignment="1">
      <alignment horizontal="center"/>
    </xf>
    <xf numFmtId="167" fontId="0" fillId="0" borderId="0" xfId="0" applyNumberFormat="1"/>
    <xf numFmtId="8" fontId="0" fillId="0" borderId="8" xfId="1" applyNumberFormat="1" applyFont="1" applyBorder="1"/>
    <xf numFmtId="0" fontId="0" fillId="0" borderId="64" xfId="0" applyBorder="1"/>
    <xf numFmtId="166" fontId="0" fillId="0" borderId="65" xfId="0" applyNumberFormat="1" applyBorder="1"/>
    <xf numFmtId="10" fontId="0" fillId="0" borderId="65" xfId="0" applyNumberFormat="1" applyBorder="1"/>
    <xf numFmtId="1" fontId="0" fillId="0" borderId="65" xfId="0" applyNumberFormat="1" applyBorder="1"/>
    <xf numFmtId="0" fontId="4" fillId="0" borderId="64" xfId="0" applyFont="1" applyBorder="1"/>
    <xf numFmtId="0" fontId="0" fillId="0" borderId="4" xfId="0" applyBorder="1"/>
    <xf numFmtId="0" fontId="0" fillId="0" borderId="5" xfId="0" applyBorder="1"/>
    <xf numFmtId="0" fontId="4" fillId="4" borderId="4" xfId="0" applyFont="1" applyFill="1" applyBorder="1"/>
    <xf numFmtId="0" fontId="0" fillId="4" borderId="5" xfId="0" applyFill="1" applyBorder="1"/>
    <xf numFmtId="0" fontId="0" fillId="0" borderId="68" xfId="0" applyBorder="1"/>
    <xf numFmtId="44" fontId="0" fillId="0" borderId="65" xfId="1" applyFont="1" applyBorder="1"/>
    <xf numFmtId="44" fontId="4" fillId="0" borderId="65" xfId="1" applyFont="1" applyBorder="1"/>
    <xf numFmtId="44" fontId="0" fillId="0" borderId="69" xfId="1" applyFont="1" applyBorder="1"/>
    <xf numFmtId="44" fontId="0" fillId="0" borderId="57" xfId="1" applyFont="1" applyBorder="1" applyAlignment="1">
      <alignment horizontal="center"/>
    </xf>
    <xf numFmtId="44" fontId="0" fillId="0" borderId="60" xfId="1" applyFont="1" applyBorder="1" applyAlignment="1">
      <alignment horizontal="center"/>
    </xf>
    <xf numFmtId="44" fontId="4" fillId="0" borderId="57" xfId="1" applyFont="1" applyBorder="1" applyAlignment="1">
      <alignment horizontal="center"/>
    </xf>
    <xf numFmtId="44" fontId="0" fillId="0" borderId="56" xfId="1" applyFont="1" applyBorder="1" applyAlignment="1">
      <alignment horizontal="center"/>
    </xf>
    <xf numFmtId="0" fontId="6" fillId="0" borderId="0" xfId="0" applyFont="1" applyAlignment="1">
      <alignment horizontal="left"/>
    </xf>
    <xf numFmtId="44" fontId="0" fillId="0" borderId="0" xfId="1" applyFont="1" applyFill="1"/>
    <xf numFmtId="0" fontId="4" fillId="0" borderId="0" xfId="0" applyFont="1"/>
    <xf numFmtId="0" fontId="0" fillId="0" borderId="54" xfId="0" applyBorder="1"/>
    <xf numFmtId="44" fontId="5" fillId="0" borderId="54" xfId="1" applyFont="1" applyFill="1" applyBorder="1"/>
    <xf numFmtId="43" fontId="0" fillId="0" borderId="54" xfId="2" applyFont="1" applyFill="1" applyBorder="1"/>
    <xf numFmtId="0" fontId="0" fillId="0" borderId="55" xfId="0" applyBorder="1"/>
    <xf numFmtId="44" fontId="0" fillId="0" borderId="54" xfId="1" applyFont="1" applyFill="1" applyBorder="1"/>
    <xf numFmtId="0" fontId="4" fillId="0" borderId="54" xfId="0" applyFont="1" applyBorder="1"/>
    <xf numFmtId="44" fontId="4" fillId="0" borderId="54" xfId="1" applyFont="1" applyFill="1" applyBorder="1"/>
    <xf numFmtId="43" fontId="0" fillId="0" borderId="0" xfId="2" applyFont="1" applyFill="1"/>
    <xf numFmtId="2" fontId="0" fillId="0" borderId="0" xfId="1" applyNumberFormat="1" applyFont="1" applyFill="1"/>
    <xf numFmtId="44" fontId="0" fillId="0" borderId="64" xfId="1" applyFont="1" applyBorder="1" applyAlignment="1">
      <alignment horizontal="center"/>
    </xf>
    <xf numFmtId="44" fontId="0" fillId="0" borderId="65" xfId="1" applyFont="1" applyBorder="1" applyAlignment="1">
      <alignment horizontal="center"/>
    </xf>
    <xf numFmtId="44" fontId="0" fillId="0" borderId="68" xfId="1" applyFont="1" applyBorder="1" applyAlignment="1">
      <alignment horizontal="center"/>
    </xf>
    <xf numFmtId="44" fontId="0" fillId="0" borderId="70" xfId="1" applyFont="1" applyBorder="1" applyAlignment="1">
      <alignment horizontal="center"/>
    </xf>
    <xf numFmtId="44" fontId="0" fillId="0" borderId="69" xfId="1" applyFont="1" applyBorder="1" applyAlignment="1">
      <alignment horizontal="center"/>
    </xf>
    <xf numFmtId="0" fontId="4" fillId="9" borderId="71" xfId="0" applyFont="1" applyFill="1" applyBorder="1" applyAlignment="1">
      <alignment horizontal="center" vertical="center"/>
    </xf>
    <xf numFmtId="0" fontId="4" fillId="9" borderId="72" xfId="0" applyFont="1" applyFill="1" applyBorder="1" applyAlignment="1">
      <alignment horizontal="center" vertical="center"/>
    </xf>
    <xf numFmtId="0" fontId="4" fillId="9" borderId="73" xfId="0" applyFont="1" applyFill="1" applyBorder="1" applyAlignment="1">
      <alignment horizontal="center" vertical="center"/>
    </xf>
    <xf numFmtId="44" fontId="0" fillId="0" borderId="8" xfId="1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44" fontId="0" fillId="0" borderId="13" xfId="1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44" fontId="0" fillId="0" borderId="15" xfId="1" applyFont="1" applyBorder="1" applyAlignment="1">
      <alignment vertical="center" wrapText="1"/>
    </xf>
    <xf numFmtId="44" fontId="0" fillId="0" borderId="16" xfId="1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44" fontId="0" fillId="0" borderId="18" xfId="1" applyFont="1" applyBorder="1" applyAlignment="1">
      <alignment vertical="center" wrapText="1"/>
    </xf>
    <xf numFmtId="44" fontId="0" fillId="0" borderId="19" xfId="1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43" fontId="0" fillId="0" borderId="8" xfId="2" applyFont="1" applyBorder="1" applyAlignment="1">
      <alignment vertical="center" wrapText="1"/>
    </xf>
    <xf numFmtId="43" fontId="0" fillId="0" borderId="13" xfId="2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53" xfId="0" applyFont="1" applyFill="1" applyBorder="1" applyAlignment="1">
      <alignment horizontal="center"/>
    </xf>
    <xf numFmtId="0" fontId="4" fillId="10" borderId="62" xfId="0" applyFont="1" applyFill="1" applyBorder="1" applyAlignment="1">
      <alignment horizontal="center"/>
    </xf>
    <xf numFmtId="0" fontId="4" fillId="10" borderId="63" xfId="0" applyFont="1" applyFill="1" applyBorder="1" applyAlignment="1">
      <alignment horizontal="center"/>
    </xf>
    <xf numFmtId="0" fontId="4" fillId="12" borderId="66" xfId="0" applyFont="1" applyFill="1" applyBorder="1" applyAlignment="1">
      <alignment horizontal="center"/>
    </xf>
    <xf numFmtId="0" fontId="4" fillId="12" borderId="67" xfId="0" applyFont="1" applyFill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7" fillId="0" borderId="5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11" borderId="66" xfId="0" applyFont="1" applyFill="1" applyBorder="1" applyAlignment="1">
      <alignment horizontal="center"/>
    </xf>
    <xf numFmtId="0" fontId="4" fillId="11" borderId="67" xfId="0" applyFont="1" applyFill="1" applyBorder="1" applyAlignment="1">
      <alignment horizontal="center"/>
    </xf>
    <xf numFmtId="0" fontId="3" fillId="0" borderId="4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3" fontId="0" fillId="0" borderId="65" xfId="1" applyNumberFormat="1" applyFont="1" applyBorder="1"/>
    <xf numFmtId="0" fontId="2" fillId="0" borderId="68" xfId="0" applyFont="1" applyBorder="1"/>
    <xf numFmtId="44" fontId="2" fillId="0" borderId="69" xfId="1" applyFont="1" applyBorder="1"/>
    <xf numFmtId="0" fontId="8" fillId="0" borderId="0" xfId="0" applyFont="1" applyAlignment="1"/>
    <xf numFmtId="0" fontId="0" fillId="0" borderId="0" xfId="0" applyAlignme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4 vs Year 4 Pay Off by Scenario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'[1]Binomial Asset Pricing'!$F$2</c:f>
              <c:strCache>
                <c:ptCount val="1"/>
                <c:pt idx="0">
                  <c:v>Year 4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'[1]Binomial Asset Pricing'!$A$3:$A$11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'[1]Binomial Asset Pricing'!$F$3:$F$11</c:f>
              <c:numCache>
                <c:formatCode>General</c:formatCode>
                <c:ptCount val="9"/>
                <c:pt idx="0">
                  <c:v>85.68</c:v>
                </c:pt>
                <c:pt idx="2">
                  <c:v>59.32</c:v>
                </c:pt>
                <c:pt idx="4">
                  <c:v>41.07</c:v>
                </c:pt>
                <c:pt idx="6">
                  <c:v>28.43</c:v>
                </c:pt>
                <c:pt idx="8">
                  <c:v>19.68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84B-47E6-9DFD-92F5C0CEED9A}"/>
            </c:ext>
          </c:extLst>
        </c:ser>
        <c:ser>
          <c:idx val="1"/>
          <c:order val="1"/>
          <c:tx>
            <c:strRef>
              <c:f>'[1]Binomial Asset Pricing'!$G$2</c:f>
              <c:strCache>
                <c:ptCount val="1"/>
                <c:pt idx="0">
                  <c:v>Year 4 Pay Off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'[1]Binomial Asset Pricing'!$A$3:$A$11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'[1]Binomial Asset Pricing'!$G$3:$G$11</c:f>
              <c:numCache>
                <c:formatCode>General</c:formatCode>
                <c:ptCount val="9"/>
                <c:pt idx="0">
                  <c:v>55.68</c:v>
                </c:pt>
                <c:pt idx="2">
                  <c:v>29.32</c:v>
                </c:pt>
                <c:pt idx="4">
                  <c:v>11.07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84B-47E6-9DFD-92F5C0CEED9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Scenario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4 vs Year 4 Pay Off by Scenario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9242424242424241E-2"/>
          <c:y val="3.2337962962962964E-2"/>
          <c:w val="0.96472222222222226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'[2]Joseph Method'!$F$2</c:f>
              <c:strCache>
                <c:ptCount val="1"/>
                <c:pt idx="0">
                  <c:v>Year 4</c:v>
                </c:pt>
              </c:strCache>
            </c:strRef>
          </c:tx>
          <c:spPr>
            <a:solidFill>
              <a:srgbClr val="E97132"/>
            </a:solidFill>
            <a:ln w="12700" cap="flat" cmpd="sng" algn="ctr">
              <a:solidFill>
                <a:schemeClr val="lt1"/>
              </a:solidFill>
              <a:prstDash val="solid"/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'[2]Joseph Method'!$A$3:$A$11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'[2]Joseph Method'!$F$3:$F$11</c:f>
              <c:numCache>
                <c:formatCode>General</c:formatCode>
                <c:ptCount val="9"/>
                <c:pt idx="0">
                  <c:v>104.15</c:v>
                </c:pt>
                <c:pt idx="2">
                  <c:v>72.099999999999994</c:v>
                </c:pt>
                <c:pt idx="4">
                  <c:v>49.92</c:v>
                </c:pt>
                <c:pt idx="6">
                  <c:v>34.56</c:v>
                </c:pt>
                <c:pt idx="8">
                  <c:v>23.92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 cap="flat" cmpd="sng" algn="ctr">
                    <a:solidFill>
                      <a:schemeClr val="lt1"/>
                    </a:solidFill>
                    <a:prstDash val="solid"/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B6D-49C7-9343-AF246DE2C92C}"/>
            </c:ext>
          </c:extLst>
        </c:ser>
        <c:ser>
          <c:idx val="1"/>
          <c:order val="1"/>
          <c:tx>
            <c:strRef>
              <c:f>'[2]Joseph Method'!$G$2</c:f>
              <c:strCache>
                <c:ptCount val="1"/>
                <c:pt idx="0">
                  <c:v>Year 4 Pay Off</c:v>
                </c:pt>
              </c:strCache>
            </c:strRef>
          </c:tx>
          <c:spPr>
            <a:solidFill>
              <a:srgbClr val="0F9ED5"/>
            </a:solidFill>
            <a:ln w="12700" cap="flat" cmpd="sng" algn="ctr">
              <a:solidFill>
                <a:schemeClr val="lt1"/>
              </a:solidFill>
              <a:prstDash val="solid"/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'[2]Joseph Method'!$A$3:$A$11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'[2]Joseph Method'!$G$3:$G$11</c:f>
              <c:numCache>
                <c:formatCode>General</c:formatCode>
                <c:ptCount val="9"/>
                <c:pt idx="0">
                  <c:v>74.150000000000006</c:v>
                </c:pt>
                <c:pt idx="2">
                  <c:v>42.1</c:v>
                </c:pt>
                <c:pt idx="4">
                  <c:v>19.920000000000002</c:v>
                </c:pt>
                <c:pt idx="6">
                  <c:v>4.5599999999999996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 cap="flat" cmpd="sng" algn="ctr">
                    <a:solidFill>
                      <a:schemeClr val="lt1"/>
                    </a:solidFill>
                    <a:prstDash val="solid"/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B6D-49C7-9343-AF246DE2C92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Scenario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4 vs Year 4 Pay Off by Scenario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'[1]Binomial Asset Pricing'!$F$2</c:f>
              <c:strCache>
                <c:ptCount val="1"/>
                <c:pt idx="0">
                  <c:v>Year 4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'[1]Binomial Asset Pricing'!$A$3:$A$11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'[1]Binomial Asset Pricing'!$F$3:$F$11</c:f>
              <c:numCache>
                <c:formatCode>General</c:formatCode>
                <c:ptCount val="9"/>
                <c:pt idx="0">
                  <c:v>85.68</c:v>
                </c:pt>
                <c:pt idx="2">
                  <c:v>59.32</c:v>
                </c:pt>
                <c:pt idx="4">
                  <c:v>41.07</c:v>
                </c:pt>
                <c:pt idx="6">
                  <c:v>28.43</c:v>
                </c:pt>
                <c:pt idx="8">
                  <c:v>19.68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41A-4E7B-96BF-9AD11D4FBFF6}"/>
            </c:ext>
          </c:extLst>
        </c:ser>
        <c:ser>
          <c:idx val="1"/>
          <c:order val="1"/>
          <c:tx>
            <c:strRef>
              <c:f>'[1]Binomial Asset Pricing'!$G$2</c:f>
              <c:strCache>
                <c:ptCount val="1"/>
                <c:pt idx="0">
                  <c:v>Year 4 Pay Off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'[1]Binomial Asset Pricing'!$A$3:$A$11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'[1]Binomial Asset Pricing'!$G$3:$G$11</c:f>
              <c:numCache>
                <c:formatCode>General</c:formatCode>
                <c:ptCount val="9"/>
                <c:pt idx="0">
                  <c:v>55.68</c:v>
                </c:pt>
                <c:pt idx="2">
                  <c:v>29.32</c:v>
                </c:pt>
                <c:pt idx="4">
                  <c:v>11.07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C41A-4E7B-96BF-9AD11D4FBFF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Scenario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4 vs Year 4 Pay Off by Scenario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9242424242424241E-2"/>
          <c:y val="3.2337962962962964E-2"/>
          <c:w val="0.96472222222222226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'[2]Joseph Method'!$F$2</c:f>
              <c:strCache>
                <c:ptCount val="1"/>
                <c:pt idx="0">
                  <c:v>Year 4</c:v>
                </c:pt>
              </c:strCache>
            </c:strRef>
          </c:tx>
          <c:spPr>
            <a:solidFill>
              <a:srgbClr val="E97132"/>
            </a:solidFill>
            <a:ln w="12700" cap="flat" cmpd="sng" algn="ctr">
              <a:solidFill>
                <a:schemeClr val="lt1"/>
              </a:solidFill>
              <a:prstDash val="solid"/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'[2]Joseph Method'!$A$3:$A$11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'[2]Joseph Method'!$F$3:$F$11</c:f>
              <c:numCache>
                <c:formatCode>General</c:formatCode>
                <c:ptCount val="9"/>
                <c:pt idx="0">
                  <c:v>104.15</c:v>
                </c:pt>
                <c:pt idx="2">
                  <c:v>72.099999999999994</c:v>
                </c:pt>
                <c:pt idx="4">
                  <c:v>49.92</c:v>
                </c:pt>
                <c:pt idx="6">
                  <c:v>34.56</c:v>
                </c:pt>
                <c:pt idx="8">
                  <c:v>23.92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 cap="flat" cmpd="sng" algn="ctr">
                    <a:solidFill>
                      <a:schemeClr val="lt1"/>
                    </a:solidFill>
                    <a:prstDash val="solid"/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3EC-4AE3-8D6F-DEFFBCD86653}"/>
            </c:ext>
          </c:extLst>
        </c:ser>
        <c:ser>
          <c:idx val="1"/>
          <c:order val="1"/>
          <c:tx>
            <c:strRef>
              <c:f>'[2]Joseph Method'!$G$2</c:f>
              <c:strCache>
                <c:ptCount val="1"/>
                <c:pt idx="0">
                  <c:v>Year 4 Pay Off</c:v>
                </c:pt>
              </c:strCache>
            </c:strRef>
          </c:tx>
          <c:spPr>
            <a:solidFill>
              <a:srgbClr val="0F9ED5"/>
            </a:solidFill>
            <a:ln w="12700" cap="flat" cmpd="sng" algn="ctr">
              <a:solidFill>
                <a:schemeClr val="lt1"/>
              </a:solidFill>
              <a:prstDash val="solid"/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'[2]Joseph Method'!$A$3:$A$11</c:f>
              <c:strCache>
                <c:ptCount val="9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</c:strCache>
            </c:strRef>
          </c:cat>
          <c:val>
            <c:numRef>
              <c:f>'[2]Joseph Method'!$G$3:$G$11</c:f>
              <c:numCache>
                <c:formatCode>General</c:formatCode>
                <c:ptCount val="9"/>
                <c:pt idx="0">
                  <c:v>74.150000000000006</c:v>
                </c:pt>
                <c:pt idx="2">
                  <c:v>42.1</c:v>
                </c:pt>
                <c:pt idx="4">
                  <c:v>19.920000000000002</c:v>
                </c:pt>
                <c:pt idx="6">
                  <c:v>4.5599999999999996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 cap="flat" cmpd="sng" algn="ctr">
                    <a:solidFill>
                      <a:schemeClr val="lt1"/>
                    </a:solidFill>
                    <a:prstDash val="solid"/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E3EC-4AE3-8D6F-DEFFBCD866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Scenario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(USD)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6713220" cy="39090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F1739-7706-4107-934C-A46774E20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27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F0C453-0F5B-4F70-A94B-4A396D91469F}"/>
            </a:ext>
            <a:ext uri="{147F2762-F138-4A5C-976F-8EAC2B608ADB}">
              <a16:predDERef xmlns:a16="http://schemas.microsoft.com/office/drawing/2014/main" pred="{985F1739-7706-4107-934C-A46774E20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6713220" cy="39090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CA76A-1824-4D50-8F68-70D0B6E86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27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7C486-03AE-4F45-B99D-91E2635062D4}"/>
            </a:ext>
            <a:ext uri="{147F2762-F138-4A5C-976F-8EAC2B608ADB}">
              <a16:predDERef xmlns:a16="http://schemas.microsoft.com/office/drawing/2014/main" pred="{DB1CA76A-1824-4D50-8F68-70D0B6E86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mcnaney\Downloads\Binomial_Asset_Pricing.xlsx" TargetMode="External"/><Relationship Id="rId1" Type="http://schemas.openxmlformats.org/officeDocument/2006/relationships/externalLinkPath" Target="file:///C:\Users\tmcnaney\Downloads\Binomial_Asset_Pric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mcnaney\Downloads\Joseph_Method.xlsx" TargetMode="External"/><Relationship Id="rId1" Type="http://schemas.openxmlformats.org/officeDocument/2006/relationships/externalLinkPath" Target="file:///C:\Users\tmcnaney\Downloads\Joseph_Meth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nomial Asset Pricing"/>
    </sheetNames>
    <sheetDataSet>
      <sheetData sheetId="0">
        <row r="2">
          <cell r="F2" t="str">
            <v>Year 4</v>
          </cell>
          <cell r="G2" t="str">
            <v>Year 4 Pay Off</v>
          </cell>
        </row>
        <row r="3">
          <cell r="A3" t="str">
            <v>Scenario 1</v>
          </cell>
          <cell r="F3">
            <v>85.68</v>
          </cell>
          <cell r="G3">
            <v>55.68</v>
          </cell>
        </row>
        <row r="4">
          <cell r="A4" t="str">
            <v>Scenario 2</v>
          </cell>
          <cell r="F4"/>
          <cell r="G4"/>
        </row>
        <row r="5">
          <cell r="A5" t="str">
            <v>Scenario 3</v>
          </cell>
          <cell r="F5">
            <v>59.32</v>
          </cell>
          <cell r="G5">
            <v>29.32</v>
          </cell>
        </row>
        <row r="6">
          <cell r="A6" t="str">
            <v>Scenario 4</v>
          </cell>
          <cell r="F6"/>
          <cell r="G6"/>
        </row>
        <row r="7">
          <cell r="A7" t="str">
            <v>Scenario 5</v>
          </cell>
          <cell r="F7">
            <v>41.07</v>
          </cell>
          <cell r="G7">
            <v>11.07</v>
          </cell>
        </row>
        <row r="8">
          <cell r="A8" t="str">
            <v>Scenario 6</v>
          </cell>
          <cell r="F8"/>
          <cell r="G8"/>
        </row>
        <row r="9">
          <cell r="A9" t="str">
            <v>Scenario 7</v>
          </cell>
          <cell r="F9">
            <v>28.43</v>
          </cell>
          <cell r="G9"/>
        </row>
        <row r="10">
          <cell r="A10" t="str">
            <v>Scenario 8</v>
          </cell>
          <cell r="F10"/>
          <cell r="G10"/>
        </row>
        <row r="11">
          <cell r="A11" t="str">
            <v>Scenario 9</v>
          </cell>
          <cell r="F11">
            <v>19.68</v>
          </cell>
          <cell r="G1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seph Method"/>
    </sheetNames>
    <sheetDataSet>
      <sheetData sheetId="0">
        <row r="2">
          <cell r="F2" t="str">
            <v>Year 4</v>
          </cell>
          <cell r="G2" t="str">
            <v>Year 4 Pay Off</v>
          </cell>
        </row>
        <row r="3">
          <cell r="A3" t="str">
            <v>Scenario 1</v>
          </cell>
          <cell r="F3">
            <v>104.15</v>
          </cell>
          <cell r="G3">
            <v>74.150000000000006</v>
          </cell>
        </row>
        <row r="4">
          <cell r="A4" t="str">
            <v>Scenario 2</v>
          </cell>
          <cell r="F4"/>
          <cell r="G4"/>
        </row>
        <row r="5">
          <cell r="A5" t="str">
            <v>Scenario 3</v>
          </cell>
          <cell r="F5">
            <v>72.099999999999994</v>
          </cell>
          <cell r="G5">
            <v>42.1</v>
          </cell>
        </row>
        <row r="6">
          <cell r="A6" t="str">
            <v>Scenario 4</v>
          </cell>
          <cell r="F6"/>
          <cell r="G6"/>
        </row>
        <row r="7">
          <cell r="A7" t="str">
            <v>Scenario 5</v>
          </cell>
          <cell r="F7">
            <v>49.92</v>
          </cell>
          <cell r="G7">
            <v>19.920000000000002</v>
          </cell>
        </row>
        <row r="8">
          <cell r="A8" t="str">
            <v>Scenario 6</v>
          </cell>
          <cell r="F8"/>
          <cell r="G8"/>
        </row>
        <row r="9">
          <cell r="A9" t="str">
            <v>Scenario 7</v>
          </cell>
          <cell r="F9">
            <v>34.56</v>
          </cell>
          <cell r="G9">
            <v>4.5599999999999996</v>
          </cell>
        </row>
        <row r="10">
          <cell r="A10" t="str">
            <v>Scenario 8</v>
          </cell>
          <cell r="F10"/>
          <cell r="G10"/>
        </row>
        <row r="11">
          <cell r="A11" t="str">
            <v>Scenario 9</v>
          </cell>
          <cell r="F11">
            <v>23.92</v>
          </cell>
          <cell r="G11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678B-1BFB-46C5-A2AF-FCB1FEACEFF8}">
  <dimension ref="A1:AD57"/>
  <sheetViews>
    <sheetView topLeftCell="A41" zoomScale="61" zoomScaleNormal="55" workbookViewId="0">
      <selection activeCell="C45" sqref="C45"/>
    </sheetView>
  </sheetViews>
  <sheetFormatPr defaultRowHeight="14.45"/>
  <cols>
    <col min="1" max="1" width="33.140625" bestFit="1" customWidth="1"/>
    <col min="2" max="3" width="21.140625" bestFit="1" customWidth="1"/>
    <col min="4" max="4" width="16.28515625" bestFit="1" customWidth="1"/>
    <col min="5" max="5" width="19.5703125" bestFit="1" customWidth="1"/>
    <col min="6" max="6" width="14" bestFit="1" customWidth="1"/>
    <col min="7" max="7" width="21.28515625" bestFit="1" customWidth="1"/>
    <col min="8" max="8" width="20.7109375" bestFit="1" customWidth="1"/>
    <col min="9" max="9" width="16.5703125" bestFit="1" customWidth="1"/>
    <col min="10" max="11" width="20.85546875" bestFit="1" customWidth="1"/>
    <col min="12" max="12" width="20.42578125" bestFit="1" customWidth="1"/>
    <col min="13" max="13" width="20.85546875" bestFit="1" customWidth="1"/>
    <col min="15" max="15" width="30.85546875" bestFit="1" customWidth="1"/>
    <col min="16" max="16" width="16.28515625" bestFit="1" customWidth="1"/>
    <col min="17" max="17" width="28" bestFit="1" customWidth="1"/>
    <col min="18" max="18" width="9.42578125" bestFit="1" customWidth="1"/>
    <col min="21" max="21" width="20.42578125" bestFit="1" customWidth="1"/>
    <col min="22" max="22" width="17.42578125" bestFit="1" customWidth="1"/>
    <col min="28" max="28" width="22.28515625" customWidth="1"/>
    <col min="29" max="29" width="15.140625" customWidth="1"/>
    <col min="30" max="30" width="12.85546875" bestFit="1" customWidth="1"/>
  </cols>
  <sheetData>
    <row r="1" spans="1:30" ht="15" thickBot="1">
      <c r="A1" t="s">
        <v>0</v>
      </c>
      <c r="B1" t="s">
        <v>1</v>
      </c>
    </row>
    <row r="2" spans="1:30" ht="15" thickBot="1">
      <c r="A2" t="s">
        <v>2</v>
      </c>
      <c r="B2" s="1">
        <v>30</v>
      </c>
      <c r="D2" s="159" t="s">
        <v>3</v>
      </c>
      <c r="E2" s="160"/>
      <c r="F2" s="160"/>
      <c r="G2" s="160"/>
      <c r="H2" s="161"/>
      <c r="I2" s="13" t="s">
        <v>4</v>
      </c>
      <c r="J2" s="162" t="s">
        <v>5</v>
      </c>
      <c r="K2" s="163"/>
      <c r="L2" s="163"/>
      <c r="M2" s="164"/>
      <c r="O2" s="165" t="s">
        <v>6</v>
      </c>
      <c r="P2" s="166"/>
      <c r="Q2" s="167"/>
      <c r="U2" s="168" t="s">
        <v>7</v>
      </c>
      <c r="V2" s="169"/>
    </row>
    <row r="3" spans="1:30">
      <c r="A3" t="s">
        <v>8</v>
      </c>
      <c r="B3">
        <v>0.05</v>
      </c>
      <c r="D3" s="4" t="s">
        <v>9</v>
      </c>
      <c r="E3" s="5" t="s">
        <v>10</v>
      </c>
      <c r="F3" s="5" t="s">
        <v>11</v>
      </c>
      <c r="G3" s="5" t="s">
        <v>12</v>
      </c>
      <c r="H3" s="6" t="s">
        <v>13</v>
      </c>
      <c r="I3" s="14" t="s">
        <v>14</v>
      </c>
      <c r="J3" s="17" t="s">
        <v>15</v>
      </c>
      <c r="K3" s="18" t="s">
        <v>16</v>
      </c>
      <c r="L3" s="18" t="s">
        <v>17</v>
      </c>
      <c r="M3" s="19" t="s">
        <v>18</v>
      </c>
      <c r="O3" s="28" t="s">
        <v>19</v>
      </c>
      <c r="P3" s="29" t="s">
        <v>20</v>
      </c>
      <c r="Q3" s="30" t="s">
        <v>21</v>
      </c>
      <c r="U3" s="43" t="s">
        <v>22</v>
      </c>
      <c r="V3" s="44">
        <v>2.61</v>
      </c>
    </row>
    <row r="4" spans="1:30">
      <c r="A4" t="s">
        <v>23</v>
      </c>
      <c r="B4">
        <v>0.3</v>
      </c>
      <c r="D4" s="7">
        <f>$B$2</f>
        <v>30</v>
      </c>
      <c r="E4" s="8">
        <f>D4*$B$8</f>
        <v>40.950000000000003</v>
      </c>
      <c r="F4" s="8">
        <f>E4*$B$8</f>
        <v>55.896750000000011</v>
      </c>
      <c r="G4" s="8">
        <f>F4*$B$8</f>
        <v>76.29906375000003</v>
      </c>
      <c r="H4" s="9">
        <f>G4*$B$8</f>
        <v>104.14822201875006</v>
      </c>
      <c r="I4" s="15">
        <f>MAX(H4-$B$6,0)</f>
        <v>74.148222018750062</v>
      </c>
      <c r="J4" s="20">
        <f>($B$24*I4+(1-$B$24)*I5)/$B$25</f>
        <v>47.727635178571461</v>
      </c>
      <c r="K4" s="21">
        <f>($B$24*J4+(1-$B$24)*J5)/$B$25</f>
        <v>28.685865646258517</v>
      </c>
      <c r="L4" s="21">
        <f t="shared" ref="L4:M5" si="0">($B$24*K4+(1-$B$24)*K5)/$B$25</f>
        <v>15.034872044055724</v>
      </c>
      <c r="M4" s="22">
        <f t="shared" si="0"/>
        <v>6.9003476849321101</v>
      </c>
      <c r="O4" s="31">
        <f>H4</f>
        <v>104.14822201875006</v>
      </c>
      <c r="P4" s="32">
        <f>1/16</f>
        <v>6.25E-2</v>
      </c>
      <c r="Q4" s="33">
        <f>MAX(O4-$B$6,)</f>
        <v>74.148222018750062</v>
      </c>
      <c r="R4" s="2"/>
      <c r="U4" s="43" t="s">
        <v>24</v>
      </c>
      <c r="V4" s="44">
        <f>6.9</f>
        <v>6.9</v>
      </c>
    </row>
    <row r="5" spans="1:30" ht="15" thickBot="1">
      <c r="A5" t="s">
        <v>25</v>
      </c>
      <c r="B5">
        <v>-0.1</v>
      </c>
      <c r="D5" s="7"/>
      <c r="E5" s="8">
        <f>D4*$B$9</f>
        <v>28.35</v>
      </c>
      <c r="F5" s="8">
        <f>E4*$B$9</f>
        <v>38.697750000000006</v>
      </c>
      <c r="G5" s="8">
        <f>F4*$B$9</f>
        <v>52.822428750000014</v>
      </c>
      <c r="H5" s="9">
        <f>G4*$B$9</f>
        <v>72.102615243750037</v>
      </c>
      <c r="I5" s="15">
        <f>MAX(H5-$B$6,0)</f>
        <v>42.102615243750037</v>
      </c>
      <c r="J5" s="20">
        <f t="shared" ref="J5:K6" si="1">($B$24*I5+(1-$B$24)*I6)/$B$25</f>
        <v>24.251000178571445</v>
      </c>
      <c r="K5" s="21">
        <f t="shared" si="1"/>
        <v>11.486865646258513</v>
      </c>
      <c r="L5" s="21">
        <f t="shared" si="0"/>
        <v>4.6488627442197155</v>
      </c>
      <c r="M5" s="23"/>
      <c r="O5" s="31">
        <f t="shared" ref="O5:O8" si="2">H5</f>
        <v>72.102615243750037</v>
      </c>
      <c r="P5" s="32">
        <f>4/16</f>
        <v>0.25</v>
      </c>
      <c r="Q5" s="33">
        <f t="shared" ref="Q5:Q8" si="3">MAX(O5-$B$6,)</f>
        <v>42.102615243750037</v>
      </c>
      <c r="U5" s="43" t="s">
        <v>26</v>
      </c>
      <c r="V5" s="44">
        <f>19.56</f>
        <v>19.559999999999999</v>
      </c>
    </row>
    <row r="6" spans="1:30" ht="29.45" thickBot="1">
      <c r="A6" t="s">
        <v>27</v>
      </c>
      <c r="B6" s="1">
        <v>30</v>
      </c>
      <c r="D6" s="7"/>
      <c r="E6" s="8"/>
      <c r="F6" s="8">
        <f>E5*$B$9</f>
        <v>26.790750000000003</v>
      </c>
      <c r="G6" s="8">
        <f>F5*$B$9</f>
        <v>36.569373750000011</v>
      </c>
      <c r="H6" s="9">
        <f>G5*$B$9</f>
        <v>49.91719516875002</v>
      </c>
      <c r="I6" s="15">
        <f>MAX(H6-$B$6,0)</f>
        <v>19.91719516875002</v>
      </c>
      <c r="J6" s="20">
        <f t="shared" si="1"/>
        <v>7.9979451785714417</v>
      </c>
      <c r="K6" s="21">
        <f t="shared" si="1"/>
        <v>2.6794526264880991</v>
      </c>
      <c r="L6" s="24"/>
      <c r="M6" s="23"/>
      <c r="O6" s="31">
        <f t="shared" si="2"/>
        <v>49.91719516875002</v>
      </c>
      <c r="P6" s="32">
        <f>6/16</f>
        <v>0.375</v>
      </c>
      <c r="Q6" s="33">
        <f t="shared" si="3"/>
        <v>19.91719516875002</v>
      </c>
      <c r="U6" s="45" t="s">
        <v>28</v>
      </c>
      <c r="V6" s="46">
        <f>6.9*20000</f>
        <v>138000</v>
      </c>
      <c r="AB6" s="153" t="s">
        <v>29</v>
      </c>
      <c r="AC6" s="154" t="s">
        <v>30</v>
      </c>
      <c r="AD6" s="155" t="s">
        <v>31</v>
      </c>
    </row>
    <row r="7" spans="1:30" ht="28.9">
      <c r="B7" t="s">
        <v>32</v>
      </c>
      <c r="C7" t="s">
        <v>33</v>
      </c>
      <c r="D7" s="7"/>
      <c r="E7" s="8"/>
      <c r="F7" s="8"/>
      <c r="G7" s="8">
        <f>F6*$B$9</f>
        <v>25.317258750000004</v>
      </c>
      <c r="H7" s="9">
        <f>G6*$B$9</f>
        <v>34.558058193750014</v>
      </c>
      <c r="I7" s="15">
        <f t="shared" ref="I7:I8" si="4">MAX(H7-$B$6,0)</f>
        <v>4.5580581937500142</v>
      </c>
      <c r="J7" s="20">
        <f>($B$24*I7+(1-$B$24)*I8)/$B$25</f>
        <v>1.0852519508928598</v>
      </c>
      <c r="K7" s="24"/>
      <c r="L7" s="24"/>
      <c r="M7" s="23"/>
      <c r="O7" s="31">
        <f t="shared" si="2"/>
        <v>34.558058193750014</v>
      </c>
      <c r="P7" s="32">
        <f>4/16</f>
        <v>0.25</v>
      </c>
      <c r="Q7" s="33">
        <f t="shared" si="3"/>
        <v>4.5580581937500142</v>
      </c>
      <c r="AB7" s="150" t="s">
        <v>34</v>
      </c>
      <c r="AC7" s="151">
        <v>43.92</v>
      </c>
      <c r="AD7" s="152">
        <v>43.92</v>
      </c>
    </row>
    <row r="8" spans="1:30" ht="29.45" thickBot="1">
      <c r="A8" t="s">
        <v>35</v>
      </c>
      <c r="B8">
        <f>(1+B3)*(1+B4)</f>
        <v>1.3650000000000002</v>
      </c>
      <c r="C8">
        <v>1.3</v>
      </c>
      <c r="D8" s="10"/>
      <c r="E8" s="11"/>
      <c r="F8" s="11"/>
      <c r="G8" s="11"/>
      <c r="H8" s="12">
        <f>G7*$B$9</f>
        <v>23.924809518750006</v>
      </c>
      <c r="I8" s="16">
        <f t="shared" si="4"/>
        <v>0</v>
      </c>
      <c r="J8" s="25"/>
      <c r="K8" s="26"/>
      <c r="L8" s="26"/>
      <c r="M8" s="27"/>
      <c r="O8" s="34">
        <f t="shared" si="2"/>
        <v>23.924809518750006</v>
      </c>
      <c r="P8" s="35">
        <f>1/16</f>
        <v>6.25E-2</v>
      </c>
      <c r="Q8" s="36">
        <f t="shared" si="3"/>
        <v>0</v>
      </c>
      <c r="AB8" s="145" t="s">
        <v>36</v>
      </c>
      <c r="AC8" s="144">
        <v>19.55</v>
      </c>
      <c r="AD8" s="146">
        <v>6.9</v>
      </c>
    </row>
    <row r="9" spans="1:30" ht="15" thickBot="1">
      <c r="A9" t="s">
        <v>37</v>
      </c>
      <c r="B9">
        <f>(1+B3)*(1-0.1)</f>
        <v>0.94500000000000006</v>
      </c>
      <c r="C9">
        <v>0.9</v>
      </c>
      <c r="D9" s="3"/>
      <c r="E9" s="3"/>
      <c r="F9" s="3"/>
      <c r="G9" s="3"/>
      <c r="H9" s="3"/>
      <c r="O9" s="2"/>
      <c r="Q9" s="2"/>
      <c r="AB9" s="145" t="s">
        <v>38</v>
      </c>
      <c r="AC9" s="156">
        <v>20000</v>
      </c>
      <c r="AD9" s="157">
        <v>20000</v>
      </c>
    </row>
    <row r="10" spans="1:30" ht="29.45" thickBot="1">
      <c r="D10" s="170" t="s">
        <v>30</v>
      </c>
      <c r="E10" s="170"/>
      <c r="F10" s="170"/>
      <c r="G10" s="170"/>
      <c r="H10" s="170"/>
      <c r="I10" s="170"/>
      <c r="O10" s="37" t="s">
        <v>39</v>
      </c>
      <c r="P10" s="41">
        <f>SUMPRODUCT(O4:O8,P4:P8)</f>
        <v>53.38868101875002</v>
      </c>
      <c r="Q10" s="38" t="s">
        <v>40</v>
      </c>
      <c r="R10" s="39">
        <f>SUMPRODUCT(P4:P8,Q4:Q8)</f>
        <v>23.768380423828148</v>
      </c>
      <c r="AB10" s="147" t="s">
        <v>41</v>
      </c>
      <c r="AC10" s="148">
        <v>391086</v>
      </c>
      <c r="AD10" s="149">
        <v>138007</v>
      </c>
    </row>
    <row r="11" spans="1:30" ht="15" thickBot="1">
      <c r="A11" t="s">
        <v>42</v>
      </c>
      <c r="B11" s="1">
        <f>$B$2*$B$8</f>
        <v>40.950000000000003</v>
      </c>
      <c r="C11" t="s">
        <v>43</v>
      </c>
      <c r="D11" s="50" t="s">
        <v>9</v>
      </c>
      <c r="E11" s="47" t="s">
        <v>10</v>
      </c>
      <c r="F11" s="50" t="s">
        <v>11</v>
      </c>
      <c r="G11" s="47" t="s">
        <v>12</v>
      </c>
      <c r="H11" s="50" t="s">
        <v>13</v>
      </c>
      <c r="I11" s="50" t="s">
        <v>44</v>
      </c>
      <c r="O11" s="40" t="s">
        <v>45</v>
      </c>
      <c r="P11" s="42">
        <f>P10/((1+$B$3)^4)</f>
        <v>43.923000000000016</v>
      </c>
      <c r="Q11" s="35" t="s">
        <v>46</v>
      </c>
      <c r="R11" s="36">
        <f>I49</f>
        <v>3.9262851562499979</v>
      </c>
    </row>
    <row r="12" spans="1:30">
      <c r="A12" t="s">
        <v>47</v>
      </c>
      <c r="B12" s="1">
        <f>$B$2*$B$9</f>
        <v>28.35</v>
      </c>
      <c r="C12" t="s">
        <v>48</v>
      </c>
      <c r="D12" s="51"/>
      <c r="E12" s="48"/>
      <c r="F12" s="51"/>
      <c r="G12" s="48"/>
      <c r="H12" s="51">
        <f>G14*$B$8</f>
        <v>104.14822201875006</v>
      </c>
      <c r="I12" s="51">
        <f>MAX(H12-$B$6,0)</f>
        <v>74.148222018750062</v>
      </c>
      <c r="K12">
        <f>COMBIN(4,4)*($B$24^4)*(1-$B$24)^0</f>
        <v>3.9062499999999913E-3</v>
      </c>
      <c r="L12">
        <f>SUMPRODUCT(I4:I8,K12:K16)</f>
        <v>8.3874157382080128</v>
      </c>
    </row>
    <row r="13" spans="1:30">
      <c r="D13" s="51"/>
      <c r="E13" s="48"/>
      <c r="F13" s="51"/>
      <c r="G13" s="48"/>
      <c r="H13" s="51"/>
      <c r="I13" s="51"/>
      <c r="K13">
        <f>COMBIN(4,3)*($B$24^3)*(1-$B$24)^1</f>
        <v>4.6874999999999931E-2</v>
      </c>
      <c r="L13">
        <f>L12/(1+$B$3)^4</f>
        <v>6.9003476849321119</v>
      </c>
    </row>
    <row r="14" spans="1:30">
      <c r="A14" t="s">
        <v>49</v>
      </c>
      <c r="B14">
        <f>MAX(B11-$B$6, 0)</f>
        <v>10.950000000000003</v>
      </c>
      <c r="C14" t="s">
        <v>50</v>
      </c>
      <c r="D14" s="51"/>
      <c r="E14" s="48"/>
      <c r="F14" s="51"/>
      <c r="G14" s="48">
        <f>F16*$B$8</f>
        <v>76.29906375000003</v>
      </c>
      <c r="H14" s="51"/>
      <c r="I14" s="51"/>
      <c r="K14">
        <f>COMBIN(4,2)*($B$24^2)*(1-$B$24)^2</f>
        <v>0.21093749999999983</v>
      </c>
      <c r="L14" s="1">
        <f>L13*20000</f>
        <v>138006.95369864223</v>
      </c>
    </row>
    <row r="15" spans="1:30">
      <c r="A15" t="s">
        <v>51</v>
      </c>
      <c r="B15">
        <f>MAX(B12-$B$6, 0)</f>
        <v>0</v>
      </c>
      <c r="D15" s="51"/>
      <c r="E15" s="48"/>
      <c r="F15" s="51"/>
      <c r="G15" s="48"/>
      <c r="H15" s="51"/>
      <c r="I15" s="51"/>
      <c r="K15">
        <f>COMBIN(4,1)*($B$24^1)*(1-$B$24)^3</f>
        <v>0.421875</v>
      </c>
    </row>
    <row r="16" spans="1:30">
      <c r="D16" s="51"/>
      <c r="E16" s="48"/>
      <c r="F16" s="51">
        <f>E18*$B$8</f>
        <v>55.896750000000011</v>
      </c>
      <c r="G16" s="48"/>
      <c r="H16" s="51">
        <f>G14*$B$9</f>
        <v>72.102615243750037</v>
      </c>
      <c r="I16" s="51">
        <f>MAX(H16-$B$6,0)</f>
        <v>42.102615243750037</v>
      </c>
      <c r="K16">
        <f>COMBIN(4,0)*($B$24^0)*(1-$B$24)^4</f>
        <v>0.31640625000000022</v>
      </c>
    </row>
    <row r="17" spans="1:13">
      <c r="A17" t="s">
        <v>52</v>
      </c>
      <c r="B17">
        <v>0.5</v>
      </c>
      <c r="D17" s="51"/>
      <c r="E17" s="48"/>
      <c r="F17" s="51"/>
      <c r="G17" s="48"/>
      <c r="H17" s="51"/>
      <c r="I17" s="51"/>
      <c r="K17" s="2">
        <f>SUM(K12:K16)</f>
        <v>1</v>
      </c>
    </row>
    <row r="18" spans="1:13">
      <c r="A18" t="s">
        <v>53</v>
      </c>
      <c r="B18">
        <v>0.5</v>
      </c>
      <c r="D18" s="51"/>
      <c r="E18" s="48">
        <f>D20*$B$8</f>
        <v>40.950000000000003</v>
      </c>
      <c r="F18" s="51"/>
      <c r="G18" s="48">
        <f>F16*B9</f>
        <v>52.822428750000014</v>
      </c>
      <c r="H18" s="51"/>
      <c r="I18" s="51"/>
    </row>
    <row r="19" spans="1:13">
      <c r="D19" s="51"/>
      <c r="E19" s="48"/>
      <c r="F19" s="51"/>
      <c r="G19" s="48"/>
      <c r="H19" s="51"/>
      <c r="I19" s="51"/>
    </row>
    <row r="20" spans="1:13">
      <c r="A20" t="s">
        <v>54</v>
      </c>
      <c r="B20" s="1">
        <f>($B$17*B14)+($B$18*B15)</f>
        <v>5.4750000000000014</v>
      </c>
      <c r="D20" s="51">
        <f>$B$2</f>
        <v>30</v>
      </c>
      <c r="E20" s="48"/>
      <c r="F20" s="51">
        <f>E22*$B$8</f>
        <v>38.697750000000006</v>
      </c>
      <c r="G20" s="48"/>
      <c r="H20" s="51">
        <f>G22*$B$8</f>
        <v>49.91719516875002</v>
      </c>
      <c r="I20" s="51">
        <f>MAX(H20-$B$6,0)</f>
        <v>19.91719516875002</v>
      </c>
    </row>
    <row r="21" spans="1:13">
      <c r="D21" s="51"/>
      <c r="E21" s="48"/>
      <c r="F21" s="51"/>
      <c r="G21" s="48"/>
      <c r="H21" s="51"/>
      <c r="I21" s="51"/>
    </row>
    <row r="22" spans="1:13">
      <c r="A22" t="s">
        <v>55</v>
      </c>
      <c r="B22" s="1">
        <f>B20/(1+$B$3)</f>
        <v>5.2142857142857153</v>
      </c>
      <c r="D22" s="51"/>
      <c r="E22" s="48">
        <f>D20*$B$9</f>
        <v>28.35</v>
      </c>
      <c r="F22" s="51"/>
      <c r="G22" s="48">
        <f>F20*$B$9</f>
        <v>36.569373750000011</v>
      </c>
      <c r="H22" s="51"/>
      <c r="I22" s="51"/>
    </row>
    <row r="23" spans="1:13">
      <c r="D23" s="51"/>
      <c r="E23" s="48"/>
      <c r="F23" s="51"/>
      <c r="G23" s="48"/>
      <c r="H23" s="51"/>
      <c r="I23" s="51"/>
      <c r="K23" t="s">
        <v>56</v>
      </c>
    </row>
    <row r="24" spans="1:13">
      <c r="A24" t="s">
        <v>57</v>
      </c>
      <c r="B24">
        <f>((1+$B$3)-$B$9)/($B$8-$B$9)</f>
        <v>0.24999999999999986</v>
      </c>
      <c r="D24" s="51"/>
      <c r="E24" s="48"/>
      <c r="F24" s="51">
        <f>E22*$B$9</f>
        <v>26.790750000000003</v>
      </c>
      <c r="G24" s="48"/>
      <c r="H24" s="51">
        <f>G26*$B$8</f>
        <v>34.558058193750014</v>
      </c>
      <c r="I24" s="51">
        <f>MAX(H24-$B$6,0)</f>
        <v>4.5580581937500142</v>
      </c>
    </row>
    <row r="25" spans="1:13">
      <c r="A25" t="s">
        <v>58</v>
      </c>
      <c r="B25">
        <f>1+B3</f>
        <v>1.05</v>
      </c>
      <c r="D25" s="51"/>
      <c r="E25" s="48"/>
      <c r="F25" s="51"/>
      <c r="G25" s="48"/>
      <c r="H25" s="51"/>
      <c r="I25" s="51"/>
    </row>
    <row r="26" spans="1:13">
      <c r="A26" t="s">
        <v>59</v>
      </c>
      <c r="B26" s="1">
        <f>($B$24*B14)+((1-$B$24)*B15)</f>
        <v>2.7374999999999994</v>
      </c>
      <c r="D26" s="51"/>
      <c r="E26" s="48"/>
      <c r="F26" s="51"/>
      <c r="G26" s="48">
        <f>F24*$B$9</f>
        <v>25.317258750000004</v>
      </c>
      <c r="H26" s="51"/>
      <c r="I26" s="51"/>
      <c r="K26" t="s">
        <v>13</v>
      </c>
      <c r="L26" t="s">
        <v>60</v>
      </c>
      <c r="M26" t="s">
        <v>61</v>
      </c>
    </row>
    <row r="27" spans="1:13">
      <c r="A27" t="s">
        <v>62</v>
      </c>
      <c r="B27" s="1">
        <f>B26/(1+$B$3)</f>
        <v>2.6071428571428563</v>
      </c>
      <c r="D27" s="51"/>
      <c r="E27" s="48"/>
      <c r="F27" s="51"/>
      <c r="G27" s="48"/>
      <c r="H27" s="51"/>
      <c r="I27" s="51"/>
      <c r="J27" t="s">
        <v>63</v>
      </c>
      <c r="K27" s="96">
        <f>-PV(B3,4,,H29,0)</f>
        <v>43.923000000000016</v>
      </c>
      <c r="L27" s="1">
        <f>-PV(B3,4,,I29,0)</f>
        <v>19.554305396478338</v>
      </c>
      <c r="M27" s="1">
        <f>L13</f>
        <v>6.9003476849321119</v>
      </c>
    </row>
    <row r="28" spans="1:13" ht="15" thickBot="1">
      <c r="D28" s="52"/>
      <c r="E28" s="49"/>
      <c r="F28" s="52"/>
      <c r="G28" s="49"/>
      <c r="H28" s="52">
        <f>G26*$B$9</f>
        <v>23.924809518750006</v>
      </c>
      <c r="I28" s="52">
        <f>MAX(H28-$B$6,0)</f>
        <v>0</v>
      </c>
      <c r="J28" t="s">
        <v>64</v>
      </c>
      <c r="K28">
        <v>20000</v>
      </c>
      <c r="L28" s="1">
        <f>K28*L27</f>
        <v>391086.10792956676</v>
      </c>
      <c r="M28" s="2">
        <f>L14</f>
        <v>138006.95369864223</v>
      </c>
    </row>
    <row r="29" spans="1:13" ht="15" thickBot="1">
      <c r="A29" t="s">
        <v>65</v>
      </c>
      <c r="G29" s="87" t="s">
        <v>66</v>
      </c>
      <c r="H29" s="88">
        <f>((1*H12)+(4*H16)+(6*H20)+(4*H24)+(1*H28))/16</f>
        <v>53.38868101875002</v>
      </c>
      <c r="I29" s="88">
        <f>((1*I12)+(4*I16)+(6*I20)+(4*I24)+(1*0))/16</f>
        <v>23.768380423828148</v>
      </c>
    </row>
    <row r="30" spans="1:13" ht="15" thickBot="1">
      <c r="A30" t="s">
        <v>67</v>
      </c>
      <c r="B30" s="1">
        <v>9125</v>
      </c>
      <c r="D30" s="158" t="s">
        <v>68</v>
      </c>
      <c r="E30" s="158"/>
      <c r="F30" s="158"/>
      <c r="G30" s="158"/>
      <c r="H30" s="158"/>
    </row>
    <row r="31" spans="1:13">
      <c r="A31" t="s">
        <v>69</v>
      </c>
      <c r="B31" s="1">
        <v>10500</v>
      </c>
      <c r="D31" s="90" t="s">
        <v>9</v>
      </c>
      <c r="E31" s="91" t="s">
        <v>10</v>
      </c>
      <c r="F31" s="90" t="s">
        <v>11</v>
      </c>
      <c r="G31" s="91" t="s">
        <v>12</v>
      </c>
      <c r="H31" s="90" t="s">
        <v>13</v>
      </c>
      <c r="I31" s="90" t="s">
        <v>44</v>
      </c>
    </row>
    <row r="32" spans="1:13">
      <c r="A32" t="s">
        <v>70</v>
      </c>
      <c r="B32">
        <f>$B$2</f>
        <v>30</v>
      </c>
      <c r="D32" s="92"/>
      <c r="E32" s="93"/>
      <c r="F32" s="92"/>
      <c r="G32" s="93"/>
      <c r="H32" s="92">
        <f>G34*$C$8</f>
        <v>85.683000000000021</v>
      </c>
      <c r="I32" s="92">
        <f>MAX(H32-$B$6,0)</f>
        <v>55.683000000000021</v>
      </c>
      <c r="J32">
        <f>COMBIN(4,4)*($B$24^4)*(1-$B$24)^0</f>
        <v>3.9062499999999913E-3</v>
      </c>
    </row>
    <row r="33" spans="1:10">
      <c r="A33" t="s">
        <v>71</v>
      </c>
      <c r="B33" s="1">
        <f>$B$22</f>
        <v>5.2142857142857153</v>
      </c>
      <c r="D33" s="92"/>
      <c r="E33" s="93"/>
      <c r="F33" s="92"/>
      <c r="G33" s="93"/>
      <c r="H33" s="92"/>
      <c r="I33" s="92"/>
    </row>
    <row r="34" spans="1:10">
      <c r="A34" t="s">
        <v>72</v>
      </c>
      <c r="B34" s="1">
        <v>27375</v>
      </c>
      <c r="D34" s="92"/>
      <c r="E34" s="93"/>
      <c r="F34" s="92"/>
      <c r="G34" s="93">
        <f>F36*$C$8</f>
        <v>65.910000000000011</v>
      </c>
      <c r="H34" s="92"/>
      <c r="I34" s="92"/>
    </row>
    <row r="35" spans="1:10">
      <c r="A35" t="s">
        <v>73</v>
      </c>
      <c r="B35">
        <f>$B$3</f>
        <v>0.05</v>
      </c>
      <c r="D35" s="92"/>
      <c r="E35" s="93"/>
      <c r="F35" s="92"/>
      <c r="G35" s="93"/>
      <c r="H35" s="92"/>
      <c r="I35" s="92"/>
    </row>
    <row r="36" spans="1:10">
      <c r="D36" s="92"/>
      <c r="E36" s="93"/>
      <c r="F36" s="92">
        <f>E38*$C$8</f>
        <v>50.7</v>
      </c>
      <c r="G36" s="93"/>
      <c r="H36" s="92">
        <f>G34*$C$9</f>
        <v>59.31900000000001</v>
      </c>
      <c r="I36" s="92">
        <f>MAX(H36-$B$6,0)</f>
        <v>29.31900000000001</v>
      </c>
      <c r="J36">
        <f>COMBIN(4,3)*($B$24^3)*(1-$B$24)^1</f>
        <v>4.6874999999999931E-2</v>
      </c>
    </row>
    <row r="37" spans="1:10">
      <c r="A37" t="s">
        <v>74</v>
      </c>
      <c r="B37" s="1">
        <f>B30*B32</f>
        <v>273750</v>
      </c>
      <c r="D37" s="92"/>
      <c r="E37" s="93"/>
      <c r="F37" s="92"/>
      <c r="G37" s="93"/>
      <c r="H37" s="92"/>
      <c r="I37" s="92"/>
    </row>
    <row r="38" spans="1:10">
      <c r="A38" t="s">
        <v>75</v>
      </c>
      <c r="B38" s="2">
        <f>B37-B34</f>
        <v>246375</v>
      </c>
      <c r="D38" s="92"/>
      <c r="E38" s="93">
        <f>D40*$C$8</f>
        <v>39</v>
      </c>
      <c r="F38" s="92"/>
      <c r="G38" s="93">
        <f>F36*$C$8</f>
        <v>65.910000000000011</v>
      </c>
      <c r="H38" s="92"/>
      <c r="I38" s="92"/>
    </row>
    <row r="39" spans="1:10">
      <c r="A39" t="s">
        <v>76</v>
      </c>
      <c r="B39" s="2">
        <f>B38*(1+B35)</f>
        <v>258693.75</v>
      </c>
      <c r="D39" s="92"/>
      <c r="E39" s="93"/>
      <c r="F39" s="92"/>
      <c r="G39" s="93"/>
      <c r="H39" s="92"/>
      <c r="I39" s="92"/>
    </row>
    <row r="40" spans="1:10">
      <c r="A40" t="s">
        <v>77</v>
      </c>
      <c r="B40" s="1">
        <f>B31*B33</f>
        <v>54750.000000000007</v>
      </c>
      <c r="D40" s="92">
        <f>$B$2</f>
        <v>30</v>
      </c>
      <c r="E40" s="93"/>
      <c r="F40" s="92">
        <f>E42*$C$8</f>
        <v>35.1</v>
      </c>
      <c r="G40" s="93"/>
      <c r="H40" s="92">
        <f>G42*$C$8</f>
        <v>41.067000000000007</v>
      </c>
      <c r="I40" s="92">
        <f>MAX(H40-$B$6,0)</f>
        <v>11.067000000000007</v>
      </c>
      <c r="J40">
        <f>COMBIN(4,2)*($B$24^2)*(1-$B$24)^2</f>
        <v>0.21093749999999983</v>
      </c>
    </row>
    <row r="41" spans="1:10">
      <c r="A41" t="s">
        <v>78</v>
      </c>
      <c r="B41" s="1">
        <f>B40*(1+B35)</f>
        <v>57487.500000000007</v>
      </c>
      <c r="D41" s="92"/>
      <c r="E41" s="93"/>
      <c r="F41" s="92"/>
      <c r="G41" s="93"/>
      <c r="H41" s="92"/>
      <c r="I41" s="92"/>
    </row>
    <row r="42" spans="1:10">
      <c r="D42" s="92"/>
      <c r="E42" s="93">
        <f>D40*$C$9</f>
        <v>27</v>
      </c>
      <c r="F42" s="92"/>
      <c r="G42" s="93">
        <f>F40*$C$9</f>
        <v>31.590000000000003</v>
      </c>
      <c r="H42" s="92"/>
      <c r="I42" s="92"/>
    </row>
    <row r="43" spans="1:10">
      <c r="D43" s="92"/>
      <c r="E43" s="93"/>
      <c r="F43" s="92"/>
      <c r="G43" s="93"/>
      <c r="H43" s="92"/>
      <c r="I43" s="92"/>
    </row>
    <row r="44" spans="1:10">
      <c r="A44" t="s">
        <v>79</v>
      </c>
      <c r="B44" t="s">
        <v>80</v>
      </c>
      <c r="C44" t="s">
        <v>81</v>
      </c>
      <c r="D44" s="92"/>
      <c r="E44" s="93"/>
      <c r="F44" s="92">
        <f>E42*$C$9</f>
        <v>24.3</v>
      </c>
      <c r="G44" s="93"/>
      <c r="H44" s="92">
        <f>G46*$C$8</f>
        <v>28.431000000000001</v>
      </c>
      <c r="I44" s="92">
        <f>MAX(H44-$B$6,0)</f>
        <v>0</v>
      </c>
      <c r="J44">
        <f>COMBIN(4,1)*($B$24^1)*(1-$B$24)^3</f>
        <v>0.421875</v>
      </c>
    </row>
    <row r="45" spans="1:10">
      <c r="A45" t="s">
        <v>82</v>
      </c>
      <c r="B45" s="1">
        <f>$B$11</f>
        <v>40.950000000000003</v>
      </c>
      <c r="C45" s="1">
        <f>$B$30*B45</f>
        <v>373668.75</v>
      </c>
      <c r="D45" s="92"/>
      <c r="E45" s="93"/>
      <c r="F45" s="92"/>
      <c r="G45" s="93"/>
      <c r="H45" s="92"/>
      <c r="I45" s="92"/>
    </row>
    <row r="46" spans="1:10">
      <c r="A46" t="s">
        <v>83</v>
      </c>
      <c r="B46" s="1">
        <f>$B$12</f>
        <v>28.35</v>
      </c>
      <c r="C46" s="1">
        <f>$B$30*B46</f>
        <v>258693.75</v>
      </c>
      <c r="D46" s="92"/>
      <c r="E46" s="93"/>
      <c r="F46" s="92"/>
      <c r="G46" s="93">
        <f>F44*$C$9</f>
        <v>21.87</v>
      </c>
      <c r="H46" s="92"/>
      <c r="I46" s="92"/>
    </row>
    <row r="47" spans="1:10">
      <c r="D47" s="92"/>
      <c r="E47" s="93"/>
      <c r="F47" s="92"/>
      <c r="G47" s="93"/>
      <c r="H47" s="92"/>
      <c r="I47" s="92"/>
    </row>
    <row r="48" spans="1:10" ht="15" thickBot="1">
      <c r="D48" s="94"/>
      <c r="E48" s="95"/>
      <c r="F48" s="94"/>
      <c r="G48" s="95" t="s">
        <v>84</v>
      </c>
      <c r="H48" s="94">
        <f>G46*$C$9</f>
        <v>19.683</v>
      </c>
      <c r="I48" s="92">
        <f>MAX(H48-$B$6,0)</f>
        <v>0</v>
      </c>
      <c r="J48">
        <f>COMBIN(4,0)*($B$24^0)*(1-$B$24)^4</f>
        <v>0.31640625000000022</v>
      </c>
    </row>
    <row r="49" spans="1:12" ht="15" thickBot="1">
      <c r="G49" s="87" t="s">
        <v>85</v>
      </c>
      <c r="H49" s="88">
        <f>((1*H32)+(4*H36)+(6*H40)+(4*H44)+(1*H48))/16</f>
        <v>43.923000000000009</v>
      </c>
      <c r="I49" s="88">
        <f>I32*J32 + I36*J36 + I40*J40 + I44*J44 + I48*J48</f>
        <v>3.9262851562499979</v>
      </c>
      <c r="J49" s="2">
        <f>H32*J32 + H36*J36 + H40*J40 + H44*J44 + H48*J48</f>
        <v>29.999999999999996</v>
      </c>
    </row>
    <row r="50" spans="1:12">
      <c r="A50" t="s">
        <v>86</v>
      </c>
      <c r="B50">
        <v>0.25</v>
      </c>
    </row>
    <row r="51" spans="1:12">
      <c r="A51" t="s">
        <v>87</v>
      </c>
      <c r="B51">
        <f>(B50*B14+(1-B50)*B15)/(1+$B$3)</f>
        <v>2.6071428571428577</v>
      </c>
    </row>
    <row r="53" spans="1:12">
      <c r="A53" t="s">
        <v>88</v>
      </c>
      <c r="J53" s="101"/>
      <c r="K53" s="101" t="s">
        <v>13</v>
      </c>
      <c r="L53" s="101" t="s">
        <v>60</v>
      </c>
    </row>
    <row r="54" spans="1:12">
      <c r="A54" t="s">
        <v>89</v>
      </c>
      <c r="B54" s="1">
        <v>30</v>
      </c>
      <c r="J54" s="101" t="s">
        <v>63</v>
      </c>
      <c r="K54" s="102">
        <f>-PV(B23,4,,H49,0)</f>
        <v>43.923000000000009</v>
      </c>
      <c r="L54" s="106">
        <f>-PV(B3,4,,I49,0)</f>
        <v>3.2301645147855043</v>
      </c>
    </row>
    <row r="55" spans="1:12">
      <c r="A55" t="s">
        <v>90</v>
      </c>
      <c r="B55" s="89">
        <v>0.05</v>
      </c>
      <c r="J55" s="101" t="s">
        <v>64</v>
      </c>
      <c r="K55" s="103">
        <v>20000</v>
      </c>
      <c r="L55" s="102">
        <f>L54*20000</f>
        <v>64603.290295710089</v>
      </c>
    </row>
    <row r="56" spans="1:12">
      <c r="A56" t="s">
        <v>91</v>
      </c>
      <c r="B56">
        <v>4</v>
      </c>
    </row>
    <row r="57" spans="1:12">
      <c r="A57" t="s">
        <v>92</v>
      </c>
      <c r="B57" s="1">
        <v>36.465187499999999</v>
      </c>
    </row>
  </sheetData>
  <mergeCells count="6">
    <mergeCell ref="D30:H30"/>
    <mergeCell ref="D2:H2"/>
    <mergeCell ref="J2:M2"/>
    <mergeCell ref="O2:Q2"/>
    <mergeCell ref="U2:V2"/>
    <mergeCell ref="D10:I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47FF-C790-4D36-B66D-A9D49EE55730}">
  <dimension ref="B2:AD97"/>
  <sheetViews>
    <sheetView tabSelected="1" topLeftCell="A48" zoomScale="61" workbookViewId="0">
      <selection activeCell="C97" sqref="B55:C97"/>
    </sheetView>
  </sheetViews>
  <sheetFormatPr defaultRowHeight="15"/>
  <cols>
    <col min="2" max="2" width="47" customWidth="1"/>
    <col min="3" max="3" width="12.85546875" bestFit="1" customWidth="1"/>
    <col min="4" max="4" width="14" bestFit="1" customWidth="1"/>
    <col min="5" max="5" width="8.7109375" bestFit="1" customWidth="1"/>
    <col min="6" max="6" width="10.5703125" bestFit="1" customWidth="1"/>
    <col min="7" max="7" width="18" bestFit="1" customWidth="1"/>
    <col min="25" max="28" width="8.7109375" bestFit="1" customWidth="1"/>
    <col min="29" max="29" width="9" bestFit="1" customWidth="1"/>
    <col min="30" max="30" width="18.140625" bestFit="1" customWidth="1"/>
  </cols>
  <sheetData>
    <row r="2" spans="2:30" ht="18.75">
      <c r="B2" s="175" t="s">
        <v>68</v>
      </c>
      <c r="C2" s="175"/>
      <c r="D2" s="175"/>
      <c r="E2" s="175"/>
      <c r="F2" s="175"/>
      <c r="G2" s="175"/>
    </row>
    <row r="3" spans="2:30">
      <c r="B3" s="97" t="s">
        <v>9</v>
      </c>
      <c r="C3" s="97" t="s">
        <v>10</v>
      </c>
      <c r="D3" s="97" t="s">
        <v>11</v>
      </c>
      <c r="E3" s="97" t="s">
        <v>12</v>
      </c>
      <c r="F3" s="97" t="s">
        <v>13</v>
      </c>
      <c r="G3" s="97" t="s">
        <v>93</v>
      </c>
    </row>
    <row r="4" spans="2:30">
      <c r="B4" s="123"/>
      <c r="C4" s="123"/>
      <c r="D4" s="123"/>
      <c r="E4" s="123"/>
      <c r="F4" s="123">
        <v>85.68</v>
      </c>
      <c r="G4" s="123">
        <v>55.68</v>
      </c>
    </row>
    <row r="5" spans="2:30">
      <c r="B5" s="123"/>
      <c r="C5" s="123"/>
      <c r="D5" s="123"/>
      <c r="E5" s="123">
        <v>65.91</v>
      </c>
      <c r="F5" s="123"/>
      <c r="G5" s="123"/>
    </row>
    <row r="6" spans="2:30">
      <c r="B6" s="123"/>
      <c r="C6" s="123"/>
      <c r="D6" s="123">
        <v>50.7</v>
      </c>
      <c r="E6" s="123"/>
      <c r="F6" s="123">
        <v>59.32</v>
      </c>
      <c r="G6" s="123">
        <v>29.32</v>
      </c>
    </row>
    <row r="7" spans="2:30">
      <c r="B7" s="123"/>
      <c r="C7" s="123">
        <v>39</v>
      </c>
      <c r="D7" s="123"/>
      <c r="E7" s="123">
        <v>65.91</v>
      </c>
      <c r="F7" s="123"/>
      <c r="G7" s="123"/>
    </row>
    <row r="8" spans="2:30">
      <c r="B8" s="123">
        <v>30</v>
      </c>
      <c r="C8" s="123"/>
      <c r="D8" s="123">
        <v>35.1</v>
      </c>
      <c r="E8" s="123"/>
      <c r="F8" s="123">
        <v>41.07</v>
      </c>
      <c r="G8" s="123">
        <v>11.07</v>
      </c>
    </row>
    <row r="9" spans="2:30">
      <c r="B9" s="123"/>
      <c r="C9" s="123">
        <v>27</v>
      </c>
      <c r="D9" s="123"/>
      <c r="E9" s="123">
        <v>31.59</v>
      </c>
      <c r="F9" s="123"/>
      <c r="G9" s="123"/>
    </row>
    <row r="10" spans="2:30">
      <c r="B10" s="123"/>
      <c r="C10" s="123"/>
      <c r="D10" s="123">
        <v>24.3</v>
      </c>
      <c r="E10" s="123"/>
      <c r="F10" s="123">
        <v>28.43</v>
      </c>
      <c r="G10" s="123"/>
    </row>
    <row r="11" spans="2:30">
      <c r="B11" s="123"/>
      <c r="C11" s="123"/>
      <c r="D11" s="123"/>
      <c r="E11" s="123">
        <v>21.87</v>
      </c>
      <c r="F11" s="123"/>
      <c r="G11" s="123"/>
    </row>
    <row r="12" spans="2:30">
      <c r="B12" s="123"/>
      <c r="C12" s="123"/>
      <c r="D12" s="123"/>
      <c r="E12" s="123"/>
      <c r="F12" s="123">
        <v>19.68</v>
      </c>
      <c r="G12" s="123"/>
    </row>
    <row r="13" spans="2:30">
      <c r="B13" s="104"/>
      <c r="C13" s="104"/>
      <c r="D13" s="104"/>
      <c r="E13" s="98"/>
      <c r="F13" s="99"/>
      <c r="G13" s="99"/>
    </row>
    <row r="14" spans="2:30">
      <c r="B14" s="101"/>
      <c r="C14" s="101" t="s">
        <v>13</v>
      </c>
      <c r="D14" s="101" t="s">
        <v>60</v>
      </c>
    </row>
    <row r="15" spans="2:30">
      <c r="B15" s="101" t="s">
        <v>63</v>
      </c>
      <c r="C15" s="102">
        <v>43.923000000000002</v>
      </c>
      <c r="D15" s="102">
        <v>3.2301645147855043</v>
      </c>
    </row>
    <row r="16" spans="2:30">
      <c r="B16" s="101" t="s">
        <v>64</v>
      </c>
      <c r="C16" s="101">
        <v>20000</v>
      </c>
      <c r="D16" s="102">
        <v>64603.290295710089</v>
      </c>
      <c r="Y16" s="176" t="s">
        <v>94</v>
      </c>
      <c r="Z16" s="177"/>
      <c r="AA16" s="177"/>
      <c r="AB16" s="177"/>
      <c r="AC16" s="177"/>
      <c r="AD16" s="178"/>
    </row>
    <row r="17" spans="2:30">
      <c r="B17" s="190"/>
      <c r="C17" s="191"/>
      <c r="D17" s="191"/>
      <c r="E17" s="191"/>
      <c r="F17" s="191"/>
      <c r="G17" s="191"/>
      <c r="H17" s="191"/>
      <c r="Y17" s="141" t="s">
        <v>9</v>
      </c>
      <c r="Z17" s="142" t="s">
        <v>10</v>
      </c>
      <c r="AA17" s="142" t="s">
        <v>11</v>
      </c>
      <c r="AB17" s="142" t="s">
        <v>12</v>
      </c>
      <c r="AC17" s="142" t="s">
        <v>13</v>
      </c>
      <c r="AD17" s="143" t="s">
        <v>93</v>
      </c>
    </row>
    <row r="18" spans="2:30">
      <c r="Y18" s="136"/>
      <c r="Z18" s="120"/>
      <c r="AA18" s="120"/>
      <c r="AB18" s="120"/>
      <c r="AC18" s="120">
        <v>104.15</v>
      </c>
      <c r="AD18" s="137">
        <v>74.150000000000006</v>
      </c>
    </row>
    <row r="19" spans="2:30">
      <c r="Y19" s="136"/>
      <c r="Z19" s="120"/>
      <c r="AA19" s="120"/>
      <c r="AB19" s="120">
        <v>76.3</v>
      </c>
      <c r="AC19" s="120"/>
      <c r="AD19" s="137"/>
    </row>
    <row r="20" spans="2:30">
      <c r="Y20" s="136"/>
      <c r="Z20" s="120"/>
      <c r="AA20" s="120">
        <v>55.9</v>
      </c>
      <c r="AB20" s="120"/>
      <c r="AC20" s="120">
        <v>72.099999999999994</v>
      </c>
      <c r="AD20" s="137">
        <v>42.1</v>
      </c>
    </row>
    <row r="21" spans="2:30">
      <c r="Y21" s="136"/>
      <c r="Z21" s="120">
        <v>40.950000000000003</v>
      </c>
      <c r="AA21" s="120"/>
      <c r="AB21" s="120">
        <v>52.82</v>
      </c>
      <c r="AC21" s="120"/>
      <c r="AD21" s="137"/>
    </row>
    <row r="22" spans="2:30">
      <c r="Y22" s="136">
        <v>30</v>
      </c>
      <c r="Z22" s="120"/>
      <c r="AA22" s="120">
        <v>38.700000000000003</v>
      </c>
      <c r="AB22" s="120"/>
      <c r="AC22" s="120">
        <v>49.92</v>
      </c>
      <c r="AD22" s="137">
        <v>19.920000000000002</v>
      </c>
    </row>
    <row r="23" spans="2:30">
      <c r="Y23" s="136"/>
      <c r="Z23" s="120">
        <v>28.35</v>
      </c>
      <c r="AA23" s="120"/>
      <c r="AB23" s="120">
        <v>36.57</v>
      </c>
      <c r="AC23" s="120"/>
      <c r="AD23" s="137"/>
    </row>
    <row r="24" spans="2:30">
      <c r="Y24" s="136"/>
      <c r="Z24" s="120"/>
      <c r="AA24" s="120">
        <v>26.79</v>
      </c>
      <c r="AB24" s="120"/>
      <c r="AC24" s="120">
        <v>34.56</v>
      </c>
      <c r="AD24" s="137">
        <v>4.5599999999999996</v>
      </c>
    </row>
    <row r="25" spans="2:30">
      <c r="Y25" s="136"/>
      <c r="Z25" s="120"/>
      <c r="AA25" s="120"/>
      <c r="AB25" s="120">
        <v>25.32</v>
      </c>
      <c r="AC25" s="120"/>
      <c r="AD25" s="137"/>
    </row>
    <row r="26" spans="2:30" ht="18.75">
      <c r="B26" s="179" t="s">
        <v>30</v>
      </c>
      <c r="C26" s="179"/>
      <c r="D26" s="179"/>
      <c r="E26" s="179"/>
      <c r="F26" s="179"/>
      <c r="G26" s="179"/>
      <c r="Y26" s="138"/>
      <c r="Z26" s="139"/>
      <c r="AA26" s="139"/>
      <c r="AB26" s="139"/>
      <c r="AC26" s="139">
        <v>23.92</v>
      </c>
      <c r="AD26" s="140"/>
    </row>
    <row r="27" spans="2:30">
      <c r="B27" s="100" t="s">
        <v>9</v>
      </c>
      <c r="C27" s="100" t="s">
        <v>10</v>
      </c>
      <c r="D27" s="100" t="s">
        <v>11</v>
      </c>
      <c r="E27" s="100" t="s">
        <v>12</v>
      </c>
      <c r="F27" s="100" t="s">
        <v>13</v>
      </c>
      <c r="G27" s="100" t="s">
        <v>93</v>
      </c>
    </row>
    <row r="28" spans="2:30">
      <c r="B28" s="120"/>
      <c r="C28" s="120"/>
      <c r="D28" s="120"/>
      <c r="E28" s="120"/>
      <c r="F28" s="120">
        <v>104.15</v>
      </c>
      <c r="G28" s="120">
        <v>74.150000000000006</v>
      </c>
    </row>
    <row r="29" spans="2:30">
      <c r="B29" s="120"/>
      <c r="C29" s="120"/>
      <c r="D29" s="120"/>
      <c r="E29" s="120">
        <v>76.3</v>
      </c>
      <c r="F29" s="120"/>
      <c r="G29" s="120"/>
    </row>
    <row r="30" spans="2:30">
      <c r="B30" s="120"/>
      <c r="C30" s="120"/>
      <c r="D30" s="120">
        <v>55.9</v>
      </c>
      <c r="E30" s="120"/>
      <c r="F30" s="120">
        <v>72.099999999999994</v>
      </c>
      <c r="G30" s="120">
        <v>42.1</v>
      </c>
    </row>
    <row r="31" spans="2:30">
      <c r="B31" s="120"/>
      <c r="C31" s="120">
        <v>40.950000000000003</v>
      </c>
      <c r="D31" s="120"/>
      <c r="E31" s="120">
        <v>52.82</v>
      </c>
      <c r="F31" s="120"/>
      <c r="G31" s="120"/>
    </row>
    <row r="32" spans="2:30">
      <c r="B32" s="120">
        <v>30</v>
      </c>
      <c r="C32" s="120"/>
      <c r="D32" s="120">
        <v>38.700000000000003</v>
      </c>
      <c r="E32" s="120"/>
      <c r="F32" s="120">
        <v>49.92</v>
      </c>
      <c r="G32" s="120">
        <v>19.920000000000002</v>
      </c>
    </row>
    <row r="33" spans="2:8">
      <c r="B33" s="120"/>
      <c r="C33" s="120">
        <v>28.35</v>
      </c>
      <c r="D33" s="120"/>
      <c r="E33" s="120">
        <v>36.57</v>
      </c>
      <c r="F33" s="120"/>
      <c r="G33" s="120"/>
    </row>
    <row r="34" spans="2:8">
      <c r="B34" s="120"/>
      <c r="C34" s="120"/>
      <c r="D34" s="120">
        <v>26.79</v>
      </c>
      <c r="E34" s="120"/>
      <c r="F34" s="120">
        <v>34.56</v>
      </c>
      <c r="G34" s="120">
        <v>4.5599999999999996</v>
      </c>
    </row>
    <row r="35" spans="2:8">
      <c r="B35" s="120"/>
      <c r="C35" s="120"/>
      <c r="D35" s="120"/>
      <c r="E35" s="120">
        <v>25.32</v>
      </c>
      <c r="F35" s="120"/>
      <c r="G35" s="120"/>
    </row>
    <row r="36" spans="2:8">
      <c r="B36" s="120"/>
      <c r="C36" s="120"/>
      <c r="D36" s="120"/>
      <c r="E36" s="120"/>
      <c r="F36" s="120">
        <v>23.92</v>
      </c>
      <c r="G36" s="120"/>
    </row>
    <row r="37" spans="2:8">
      <c r="B37" s="121"/>
      <c r="C37" s="121"/>
      <c r="D37" s="121"/>
      <c r="E37" s="120"/>
      <c r="F37" s="122"/>
      <c r="G37" s="122"/>
    </row>
    <row r="38" spans="2:8">
      <c r="B38" s="101"/>
      <c r="C38" s="101" t="s">
        <v>13</v>
      </c>
      <c r="D38" s="101" t="s">
        <v>60</v>
      </c>
    </row>
    <row r="39" spans="2:8">
      <c r="B39" s="101" t="s">
        <v>63</v>
      </c>
      <c r="C39" s="102">
        <v>43.923000000000016</v>
      </c>
      <c r="D39" s="102">
        <v>19.554305396478338</v>
      </c>
    </row>
    <row r="40" spans="2:8">
      <c r="B40" s="101" t="s">
        <v>64</v>
      </c>
      <c r="C40" s="101">
        <v>20000</v>
      </c>
      <c r="D40" s="102">
        <v>391086.10792956676</v>
      </c>
    </row>
    <row r="43" spans="2:8">
      <c r="C43" s="1"/>
    </row>
    <row r="44" spans="2:8">
      <c r="C44" s="1"/>
    </row>
    <row r="45" spans="2:8">
      <c r="B45" s="190"/>
      <c r="C45" s="191"/>
      <c r="D45" s="191"/>
      <c r="E45" s="191"/>
      <c r="F45" s="191"/>
      <c r="G45" s="191"/>
      <c r="H45" s="191"/>
    </row>
    <row r="49" spans="2:4">
      <c r="B49" s="101" t="s">
        <v>95</v>
      </c>
      <c r="C49" s="101" t="s">
        <v>96</v>
      </c>
      <c r="D49" s="101" t="s">
        <v>97</v>
      </c>
    </row>
    <row r="50" spans="2:4">
      <c r="B50" s="101" t="s">
        <v>30</v>
      </c>
      <c r="C50" s="102">
        <v>43.923000000000016</v>
      </c>
      <c r="D50" s="102">
        <v>19.554305396478338</v>
      </c>
    </row>
    <row r="51" spans="2:4">
      <c r="B51" s="101" t="s">
        <v>31</v>
      </c>
      <c r="C51" s="102">
        <v>43.923000000000009</v>
      </c>
      <c r="D51" s="102">
        <v>3.9262851562499979</v>
      </c>
    </row>
    <row r="55" spans="2:4" ht="18.75">
      <c r="B55" s="180" t="s">
        <v>98</v>
      </c>
      <c r="C55" s="181"/>
    </row>
    <row r="56" spans="2:4">
      <c r="B56" s="171" t="s">
        <v>99</v>
      </c>
      <c r="C56" s="172"/>
    </row>
    <row r="57" spans="2:4">
      <c r="B57" s="107" t="s">
        <v>100</v>
      </c>
      <c r="C57" s="117">
        <v>27375</v>
      </c>
    </row>
    <row r="58" spans="2:4">
      <c r="B58" s="107" t="s">
        <v>101</v>
      </c>
      <c r="C58" s="109">
        <v>0.05</v>
      </c>
    </row>
    <row r="59" spans="2:4">
      <c r="B59" s="107" t="s">
        <v>102</v>
      </c>
      <c r="C59" s="117">
        <f>C66*C58</f>
        <v>12318.75</v>
      </c>
    </row>
    <row r="60" spans="2:4">
      <c r="B60" s="107" t="s">
        <v>103</v>
      </c>
      <c r="C60" s="117">
        <v>5.21</v>
      </c>
    </row>
    <row r="61" spans="2:4">
      <c r="B61" s="107" t="s">
        <v>104</v>
      </c>
      <c r="C61" s="187">
        <v>10500</v>
      </c>
    </row>
    <row r="62" spans="2:4">
      <c r="B62" s="107" t="s">
        <v>105</v>
      </c>
      <c r="C62" s="117">
        <v>30</v>
      </c>
    </row>
    <row r="63" spans="2:4">
      <c r="B63" s="107" t="s">
        <v>106</v>
      </c>
      <c r="C63" s="117">
        <v>40.950000000000003</v>
      </c>
    </row>
    <row r="64" spans="2:4">
      <c r="B64" s="107" t="s">
        <v>107</v>
      </c>
      <c r="C64" s="110">
        <v>9125</v>
      </c>
    </row>
    <row r="65" spans="2:3">
      <c r="B65" s="107" t="s">
        <v>108</v>
      </c>
      <c r="C65" s="117">
        <v>28.35</v>
      </c>
    </row>
    <row r="66" spans="2:3">
      <c r="B66" s="107" t="s">
        <v>109</v>
      </c>
      <c r="C66" s="117">
        <v>246375</v>
      </c>
    </row>
    <row r="67" spans="2:3">
      <c r="B67" s="107" t="s">
        <v>110</v>
      </c>
      <c r="C67" s="117">
        <f>C60*C61</f>
        <v>54705</v>
      </c>
    </row>
    <row r="68" spans="2:3">
      <c r="B68" s="173" t="s">
        <v>111</v>
      </c>
      <c r="C68" s="174"/>
    </row>
    <row r="69" spans="2:3">
      <c r="B69" s="111" t="s">
        <v>112</v>
      </c>
      <c r="C69" s="108"/>
    </row>
    <row r="70" spans="2:3">
      <c r="B70" s="107" t="s">
        <v>113</v>
      </c>
      <c r="C70" s="117">
        <f>C61*C60</f>
        <v>54705</v>
      </c>
    </row>
    <row r="71" spans="2:3">
      <c r="B71" s="107" t="s">
        <v>114</v>
      </c>
      <c r="C71" s="117">
        <f>C64*C63</f>
        <v>373668.75</v>
      </c>
    </row>
    <row r="72" spans="2:3">
      <c r="B72" s="107" t="s">
        <v>115</v>
      </c>
      <c r="C72" s="117">
        <f>-(C64*C62)</f>
        <v>-273750</v>
      </c>
    </row>
    <row r="73" spans="2:3">
      <c r="B73" s="107" t="s">
        <v>116</v>
      </c>
      <c r="C73" s="117">
        <f>(C61)*(C63-C62)*(-1)</f>
        <v>-114975.00000000003</v>
      </c>
    </row>
    <row r="74" spans="2:3">
      <c r="B74" s="107" t="s">
        <v>117</v>
      </c>
      <c r="C74" s="117">
        <f>-C59</f>
        <v>-12318.75</v>
      </c>
    </row>
    <row r="75" spans="2:3">
      <c r="B75" s="111" t="s">
        <v>118</v>
      </c>
      <c r="C75" s="118">
        <f>SUM(C70:C74)</f>
        <v>27329.999999999971</v>
      </c>
    </row>
    <row r="76" spans="2:3">
      <c r="B76" s="112"/>
      <c r="C76" s="113"/>
    </row>
    <row r="77" spans="2:3">
      <c r="B77" s="111" t="s">
        <v>119</v>
      </c>
      <c r="C77" s="108"/>
    </row>
    <row r="78" spans="2:3">
      <c r="B78" s="107" t="s">
        <v>113</v>
      </c>
      <c r="C78" s="117">
        <f>C70</f>
        <v>54705</v>
      </c>
    </row>
    <row r="79" spans="2:3">
      <c r="B79" s="107" t="s">
        <v>120</v>
      </c>
      <c r="C79" s="117">
        <f>C65*C64</f>
        <v>258693.75</v>
      </c>
    </row>
    <row r="80" spans="2:3">
      <c r="B80" s="107" t="s">
        <v>115</v>
      </c>
      <c r="C80" s="117">
        <f>-(C64*C62)</f>
        <v>-273750</v>
      </c>
    </row>
    <row r="81" spans="2:5">
      <c r="B81" s="107" t="s">
        <v>116</v>
      </c>
      <c r="C81" s="117">
        <f>0</f>
        <v>0</v>
      </c>
    </row>
    <row r="82" spans="2:5">
      <c r="B82" s="107" t="s">
        <v>117</v>
      </c>
      <c r="C82" s="117">
        <f>-C59</f>
        <v>-12318.75</v>
      </c>
    </row>
    <row r="83" spans="2:5">
      <c r="B83" s="111" t="s">
        <v>121</v>
      </c>
      <c r="C83" s="118">
        <f>SUM(C78:C82)</f>
        <v>27330</v>
      </c>
    </row>
    <row r="84" spans="2:5">
      <c r="B84" s="112"/>
      <c r="C84" s="113"/>
    </row>
    <row r="85" spans="2:5">
      <c r="B85" s="114" t="s">
        <v>122</v>
      </c>
      <c r="C85" s="115"/>
    </row>
    <row r="86" spans="2:5">
      <c r="B86" s="107" t="s">
        <v>123</v>
      </c>
      <c r="C86" s="117">
        <f>C60</f>
        <v>5.21</v>
      </c>
    </row>
    <row r="87" spans="2:5">
      <c r="B87" s="107" t="s">
        <v>124</v>
      </c>
      <c r="C87" s="117">
        <f>C60</f>
        <v>5.21</v>
      </c>
    </row>
    <row r="88" spans="2:5">
      <c r="B88" s="107" t="s">
        <v>104</v>
      </c>
      <c r="C88" s="110">
        <f>C61</f>
        <v>10500</v>
      </c>
    </row>
    <row r="89" spans="2:5">
      <c r="B89" s="107" t="s">
        <v>105</v>
      </c>
      <c r="C89" s="117">
        <f>C62</f>
        <v>30</v>
      </c>
    </row>
    <row r="90" spans="2:5">
      <c r="B90" s="107" t="s">
        <v>125</v>
      </c>
      <c r="C90" s="117">
        <f>C63</f>
        <v>40.950000000000003</v>
      </c>
    </row>
    <row r="91" spans="2:5">
      <c r="B91" s="107" t="s">
        <v>126</v>
      </c>
      <c r="C91" s="117">
        <f>C65</f>
        <v>28.35</v>
      </c>
    </row>
    <row r="92" spans="2:5">
      <c r="B92" s="107" t="s">
        <v>127</v>
      </c>
      <c r="C92" s="117">
        <f>C60*C61</f>
        <v>54705</v>
      </c>
    </row>
    <row r="93" spans="2:5">
      <c r="B93" s="107" t="s">
        <v>128</v>
      </c>
      <c r="C93" s="117">
        <f>MAX(0, (C63-C62)*C61)</f>
        <v>114975.00000000003</v>
      </c>
    </row>
    <row r="94" spans="2:5">
      <c r="B94" s="107" t="s">
        <v>129</v>
      </c>
      <c r="C94" s="117">
        <f>MAX(0, (C65-C62)*C61)</f>
        <v>0</v>
      </c>
      <c r="E94" s="105"/>
    </row>
    <row r="95" spans="2:5">
      <c r="B95" s="107" t="s">
        <v>130</v>
      </c>
      <c r="C95" s="117">
        <f>C93-C92</f>
        <v>60270.000000000029</v>
      </c>
    </row>
    <row r="96" spans="2:5">
      <c r="B96" s="107" t="s">
        <v>131</v>
      </c>
      <c r="C96" s="117">
        <f>0.5*C95</f>
        <v>30135.000000000015</v>
      </c>
    </row>
    <row r="97" spans="2:3">
      <c r="B97" s="188" t="s">
        <v>132</v>
      </c>
      <c r="C97" s="189">
        <f>C96-C57</f>
        <v>2760.0000000000146</v>
      </c>
    </row>
  </sheetData>
  <mergeCells count="8">
    <mergeCell ref="B56:C56"/>
    <mergeCell ref="B68:C68"/>
    <mergeCell ref="B2:G2"/>
    <mergeCell ref="Y16:AD16"/>
    <mergeCell ref="B17:H17"/>
    <mergeCell ref="B26:G26"/>
    <mergeCell ref="B45:H45"/>
    <mergeCell ref="B55:C5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D48C-B765-4691-8CCC-05776ABDB856}">
  <dimension ref="B2:AD101"/>
  <sheetViews>
    <sheetView topLeftCell="A73" zoomScale="61" workbookViewId="0">
      <selection activeCell="C79" sqref="C79"/>
    </sheetView>
  </sheetViews>
  <sheetFormatPr defaultRowHeight="14.45"/>
  <cols>
    <col min="2" max="2" width="33.42578125" customWidth="1"/>
    <col min="3" max="3" width="12.85546875" bestFit="1" customWidth="1"/>
    <col min="4" max="4" width="14" bestFit="1" customWidth="1"/>
    <col min="5" max="5" width="8.7109375" bestFit="1" customWidth="1"/>
    <col min="6" max="6" width="10.5703125" bestFit="1" customWidth="1"/>
    <col min="7" max="7" width="18" bestFit="1" customWidth="1"/>
    <col min="25" max="28" width="8.7109375" bestFit="1" customWidth="1"/>
    <col min="29" max="29" width="9" bestFit="1" customWidth="1"/>
    <col min="30" max="30" width="18.140625" bestFit="1" customWidth="1"/>
  </cols>
  <sheetData>
    <row r="2" spans="2:30" ht="18">
      <c r="B2" s="175" t="s">
        <v>68</v>
      </c>
      <c r="C2" s="175"/>
      <c r="D2" s="175"/>
      <c r="E2" s="175"/>
      <c r="F2" s="175"/>
      <c r="G2" s="175"/>
    </row>
    <row r="3" spans="2:30">
      <c r="B3" s="97" t="s">
        <v>9</v>
      </c>
      <c r="C3" s="97" t="s">
        <v>10</v>
      </c>
      <c r="D3" s="97" t="s">
        <v>11</v>
      </c>
      <c r="E3" s="97" t="s">
        <v>12</v>
      </c>
      <c r="F3" s="97" t="s">
        <v>13</v>
      </c>
      <c r="G3" s="97" t="s">
        <v>93</v>
      </c>
    </row>
    <row r="4" spans="2:30">
      <c r="B4" s="123"/>
      <c r="C4" s="123"/>
      <c r="D4" s="123"/>
      <c r="E4" s="123"/>
      <c r="F4" s="123">
        <v>85.68</v>
      </c>
      <c r="G4" s="123">
        <v>55.68</v>
      </c>
    </row>
    <row r="5" spans="2:30">
      <c r="B5" s="123"/>
      <c r="C5" s="123"/>
      <c r="D5" s="123"/>
      <c r="E5" s="123">
        <v>65.91</v>
      </c>
      <c r="F5" s="123"/>
      <c r="G5" s="123"/>
    </row>
    <row r="6" spans="2:30">
      <c r="B6" s="123"/>
      <c r="C6" s="123"/>
      <c r="D6" s="123">
        <v>50.7</v>
      </c>
      <c r="E6" s="123"/>
      <c r="F6" s="123">
        <v>59.32</v>
      </c>
      <c r="G6" s="123">
        <v>29.32</v>
      </c>
    </row>
    <row r="7" spans="2:30">
      <c r="B7" s="123"/>
      <c r="C7" s="123">
        <v>39</v>
      </c>
      <c r="D7" s="123"/>
      <c r="E7" s="123">
        <v>65.91</v>
      </c>
      <c r="F7" s="123"/>
      <c r="G7" s="123"/>
    </row>
    <row r="8" spans="2:30">
      <c r="B8" s="123">
        <v>30</v>
      </c>
      <c r="C8" s="123"/>
      <c r="D8" s="123">
        <v>35.1</v>
      </c>
      <c r="E8" s="123"/>
      <c r="F8" s="123">
        <v>41.07</v>
      </c>
      <c r="G8" s="123">
        <v>11.07</v>
      </c>
    </row>
    <row r="9" spans="2:30">
      <c r="B9" s="123"/>
      <c r="C9" s="123">
        <v>27</v>
      </c>
      <c r="D9" s="123"/>
      <c r="E9" s="123">
        <v>31.59</v>
      </c>
      <c r="F9" s="123"/>
      <c r="G9" s="123"/>
    </row>
    <row r="10" spans="2:30">
      <c r="B10" s="123"/>
      <c r="C10" s="123"/>
      <c r="D10" s="123">
        <v>24.3</v>
      </c>
      <c r="E10" s="123"/>
      <c r="F10" s="123">
        <v>28.43</v>
      </c>
      <c r="G10" s="123"/>
    </row>
    <row r="11" spans="2:30">
      <c r="B11" s="123"/>
      <c r="C11" s="123"/>
      <c r="D11" s="123"/>
      <c r="E11" s="123">
        <v>21.87</v>
      </c>
      <c r="F11" s="123"/>
      <c r="G11" s="123"/>
    </row>
    <row r="12" spans="2:30">
      <c r="B12" s="123"/>
      <c r="C12" s="123"/>
      <c r="D12" s="123"/>
      <c r="E12" s="123"/>
      <c r="F12" s="123">
        <v>19.68</v>
      </c>
      <c r="G12" s="123"/>
    </row>
    <row r="13" spans="2:30">
      <c r="B13" s="104"/>
      <c r="C13" s="104"/>
      <c r="D13" s="104"/>
      <c r="E13" s="98"/>
      <c r="F13" s="99"/>
      <c r="G13" s="99"/>
    </row>
    <row r="14" spans="2:30">
      <c r="B14" s="101"/>
      <c r="C14" s="101" t="s">
        <v>13</v>
      </c>
      <c r="D14" s="101" t="s">
        <v>60</v>
      </c>
    </row>
    <row r="15" spans="2:30" ht="15" thickBot="1">
      <c r="B15" s="101" t="s">
        <v>63</v>
      </c>
      <c r="C15" s="102">
        <v>43.923000000000002</v>
      </c>
      <c r="D15" s="102">
        <v>3.2301645147855043</v>
      </c>
    </row>
    <row r="16" spans="2:30" ht="15" thickBot="1">
      <c r="B16" s="101" t="s">
        <v>64</v>
      </c>
      <c r="C16" s="101">
        <v>20000</v>
      </c>
      <c r="D16" s="102">
        <v>64603.290295710089</v>
      </c>
      <c r="Y16" s="176" t="s">
        <v>94</v>
      </c>
      <c r="Z16" s="177"/>
      <c r="AA16" s="177"/>
      <c r="AB16" s="177"/>
      <c r="AC16" s="177"/>
      <c r="AD16" s="178"/>
    </row>
    <row r="17" spans="2:30">
      <c r="B17" s="190"/>
      <c r="C17" s="191"/>
      <c r="D17" s="191"/>
      <c r="E17" s="191"/>
      <c r="F17" s="191"/>
      <c r="G17" s="191"/>
      <c r="H17" s="191"/>
      <c r="Y17" s="141" t="s">
        <v>9</v>
      </c>
      <c r="Z17" s="142" t="s">
        <v>10</v>
      </c>
      <c r="AA17" s="142" t="s">
        <v>11</v>
      </c>
      <c r="AB17" s="142" t="s">
        <v>12</v>
      </c>
      <c r="AC17" s="142" t="s">
        <v>13</v>
      </c>
      <c r="AD17" s="143" t="s">
        <v>93</v>
      </c>
    </row>
    <row r="18" spans="2:30">
      <c r="Y18" s="136"/>
      <c r="Z18" s="120"/>
      <c r="AA18" s="120"/>
      <c r="AB18" s="120"/>
      <c r="AC18" s="120">
        <v>104.15</v>
      </c>
      <c r="AD18" s="137">
        <v>74.150000000000006</v>
      </c>
    </row>
    <row r="19" spans="2:30">
      <c r="Y19" s="136"/>
      <c r="Z19" s="120"/>
      <c r="AA19" s="120"/>
      <c r="AB19" s="120">
        <v>76.3</v>
      </c>
      <c r="AC19" s="120"/>
      <c r="AD19" s="137"/>
    </row>
    <row r="20" spans="2:30">
      <c r="Y20" s="136"/>
      <c r="Z20" s="120"/>
      <c r="AA20" s="120">
        <v>55.9</v>
      </c>
      <c r="AB20" s="120"/>
      <c r="AC20" s="120">
        <v>72.099999999999994</v>
      </c>
      <c r="AD20" s="137">
        <v>42.1</v>
      </c>
    </row>
    <row r="21" spans="2:30">
      <c r="Y21" s="136"/>
      <c r="Z21" s="120">
        <v>40.950000000000003</v>
      </c>
      <c r="AA21" s="120"/>
      <c r="AB21" s="120">
        <v>52.82</v>
      </c>
      <c r="AC21" s="120"/>
      <c r="AD21" s="137"/>
    </row>
    <row r="22" spans="2:30">
      <c r="Y22" s="136">
        <v>30</v>
      </c>
      <c r="Z22" s="120"/>
      <c r="AA22" s="120">
        <v>38.700000000000003</v>
      </c>
      <c r="AB22" s="120"/>
      <c r="AC22" s="120">
        <v>49.92</v>
      </c>
      <c r="AD22" s="137">
        <v>19.920000000000002</v>
      </c>
    </row>
    <row r="23" spans="2:30">
      <c r="Y23" s="136"/>
      <c r="Z23" s="120">
        <v>28.35</v>
      </c>
      <c r="AA23" s="120"/>
      <c r="AB23" s="120">
        <v>36.57</v>
      </c>
      <c r="AC23" s="120"/>
      <c r="AD23" s="137"/>
    </row>
    <row r="24" spans="2:30">
      <c r="Y24" s="136"/>
      <c r="Z24" s="120"/>
      <c r="AA24" s="120">
        <v>26.79</v>
      </c>
      <c r="AB24" s="120"/>
      <c r="AC24" s="120">
        <v>34.56</v>
      </c>
      <c r="AD24" s="137">
        <v>4.5599999999999996</v>
      </c>
    </row>
    <row r="25" spans="2:30">
      <c r="Y25" s="136"/>
      <c r="Z25" s="120"/>
      <c r="AA25" s="120"/>
      <c r="AB25" s="120">
        <v>25.32</v>
      </c>
      <c r="AC25" s="120"/>
      <c r="AD25" s="137"/>
    </row>
    <row r="26" spans="2:30" ht="18.600000000000001" thickBot="1">
      <c r="B26" s="179" t="s">
        <v>30</v>
      </c>
      <c r="C26" s="179"/>
      <c r="D26" s="179"/>
      <c r="E26" s="179"/>
      <c r="F26" s="179"/>
      <c r="G26" s="179"/>
      <c r="Y26" s="138"/>
      <c r="Z26" s="139"/>
      <c r="AA26" s="139"/>
      <c r="AB26" s="139"/>
      <c r="AC26" s="139">
        <v>23.92</v>
      </c>
      <c r="AD26" s="140"/>
    </row>
    <row r="27" spans="2:30">
      <c r="B27" s="100" t="s">
        <v>9</v>
      </c>
      <c r="C27" s="100" t="s">
        <v>10</v>
      </c>
      <c r="D27" s="100" t="s">
        <v>11</v>
      </c>
      <c r="E27" s="100" t="s">
        <v>12</v>
      </c>
      <c r="F27" s="100" t="s">
        <v>13</v>
      </c>
      <c r="G27" s="100" t="s">
        <v>93</v>
      </c>
    </row>
    <row r="28" spans="2:30">
      <c r="B28" s="120"/>
      <c r="C28" s="120"/>
      <c r="D28" s="120"/>
      <c r="E28" s="120"/>
      <c r="F28" s="120">
        <v>104.15</v>
      </c>
      <c r="G28" s="120">
        <v>74.150000000000006</v>
      </c>
    </row>
    <row r="29" spans="2:30">
      <c r="B29" s="120"/>
      <c r="C29" s="120"/>
      <c r="D29" s="120"/>
      <c r="E29" s="120">
        <v>76.3</v>
      </c>
      <c r="F29" s="120"/>
      <c r="G29" s="120"/>
    </row>
    <row r="30" spans="2:30">
      <c r="B30" s="120"/>
      <c r="C30" s="120"/>
      <c r="D30" s="120">
        <v>55.9</v>
      </c>
      <c r="E30" s="120"/>
      <c r="F30" s="120">
        <v>72.099999999999994</v>
      </c>
      <c r="G30" s="120">
        <v>42.1</v>
      </c>
    </row>
    <row r="31" spans="2:30">
      <c r="B31" s="120"/>
      <c r="C31" s="120">
        <v>40.950000000000003</v>
      </c>
      <c r="D31" s="120"/>
      <c r="E31" s="120">
        <v>52.82</v>
      </c>
      <c r="F31" s="120"/>
      <c r="G31" s="120"/>
    </row>
    <row r="32" spans="2:30">
      <c r="B32" s="120">
        <v>30</v>
      </c>
      <c r="C32" s="120"/>
      <c r="D32" s="120">
        <v>38.700000000000003</v>
      </c>
      <c r="E32" s="120"/>
      <c r="F32" s="120">
        <v>49.92</v>
      </c>
      <c r="G32" s="120">
        <v>19.920000000000002</v>
      </c>
    </row>
    <row r="33" spans="2:8">
      <c r="B33" s="120"/>
      <c r="C33" s="120">
        <v>28.35</v>
      </c>
      <c r="D33" s="120"/>
      <c r="E33" s="120">
        <v>36.57</v>
      </c>
      <c r="F33" s="120"/>
      <c r="G33" s="120"/>
    </row>
    <row r="34" spans="2:8">
      <c r="B34" s="120"/>
      <c r="C34" s="120"/>
      <c r="D34" s="120">
        <v>26.79</v>
      </c>
      <c r="E34" s="120"/>
      <c r="F34" s="120">
        <v>34.56</v>
      </c>
      <c r="G34" s="120">
        <v>4.5599999999999996</v>
      </c>
    </row>
    <row r="35" spans="2:8">
      <c r="B35" s="120"/>
      <c r="C35" s="120"/>
      <c r="D35" s="120"/>
      <c r="E35" s="120">
        <v>25.32</v>
      </c>
      <c r="F35" s="120"/>
      <c r="G35" s="120"/>
    </row>
    <row r="36" spans="2:8">
      <c r="B36" s="120"/>
      <c r="C36" s="120"/>
      <c r="D36" s="120"/>
      <c r="E36" s="120"/>
      <c r="F36" s="120">
        <v>23.92</v>
      </c>
      <c r="G36" s="120"/>
    </row>
    <row r="37" spans="2:8">
      <c r="B37" s="121"/>
      <c r="C37" s="121"/>
      <c r="D37" s="121"/>
      <c r="E37" s="120"/>
      <c r="F37" s="122"/>
      <c r="G37" s="122"/>
    </row>
    <row r="38" spans="2:8">
      <c r="B38" s="101"/>
      <c r="C38" s="101" t="s">
        <v>13</v>
      </c>
      <c r="D38" s="101" t="s">
        <v>60</v>
      </c>
    </row>
    <row r="39" spans="2:8">
      <c r="B39" s="101" t="s">
        <v>63</v>
      </c>
      <c r="C39" s="102">
        <v>43.923000000000016</v>
      </c>
      <c r="D39" s="102">
        <v>19.554305396478338</v>
      </c>
    </row>
    <row r="40" spans="2:8">
      <c r="B40" s="101" t="s">
        <v>64</v>
      </c>
      <c r="C40" s="101">
        <v>20000</v>
      </c>
      <c r="D40" s="102">
        <v>391086.10792956676</v>
      </c>
    </row>
    <row r="43" spans="2:8">
      <c r="C43" s="1"/>
    </row>
    <row r="44" spans="2:8">
      <c r="C44" s="1"/>
    </row>
    <row r="45" spans="2:8">
      <c r="B45" s="190"/>
      <c r="C45" s="191"/>
      <c r="D45" s="191"/>
      <c r="E45" s="191"/>
      <c r="F45" s="191"/>
      <c r="G45" s="191"/>
      <c r="H45" s="191"/>
    </row>
    <row r="49" spans="2:4">
      <c r="B49" s="101" t="s">
        <v>95</v>
      </c>
      <c r="C49" s="101" t="s">
        <v>96</v>
      </c>
      <c r="D49" s="101" t="s">
        <v>97</v>
      </c>
    </row>
    <row r="50" spans="2:4">
      <c r="B50" s="101" t="s">
        <v>30</v>
      </c>
      <c r="C50" s="102">
        <v>43.923000000000016</v>
      </c>
      <c r="D50" s="102">
        <v>19.554305396478338</v>
      </c>
    </row>
    <row r="51" spans="2:4">
      <c r="B51" s="101" t="s">
        <v>31</v>
      </c>
      <c r="C51" s="102">
        <v>43.923000000000009</v>
      </c>
      <c r="D51" s="102">
        <v>3.9262851562499979</v>
      </c>
    </row>
    <row r="54" spans="2:4" ht="15" thickBot="1"/>
    <row r="55" spans="2:4" ht="18">
      <c r="B55" s="180" t="s">
        <v>98</v>
      </c>
      <c r="C55" s="181"/>
    </row>
    <row r="56" spans="2:4">
      <c r="B56" s="171" t="s">
        <v>99</v>
      </c>
      <c r="C56" s="172"/>
    </row>
    <row r="57" spans="2:4">
      <c r="B57" s="107" t="s">
        <v>100</v>
      </c>
      <c r="C57" s="117">
        <v>27375</v>
      </c>
    </row>
    <row r="58" spans="2:4">
      <c r="B58" s="107" t="s">
        <v>101</v>
      </c>
      <c r="C58" s="109">
        <v>0.05</v>
      </c>
    </row>
    <row r="59" spans="2:4">
      <c r="B59" s="107" t="s">
        <v>102</v>
      </c>
      <c r="C59" s="117">
        <v>12318.75</v>
      </c>
    </row>
    <row r="60" spans="2:4">
      <c r="B60" s="107" t="s">
        <v>103</v>
      </c>
      <c r="C60" s="117">
        <v>5.21</v>
      </c>
    </row>
    <row r="61" spans="2:4">
      <c r="B61" s="107" t="s">
        <v>104</v>
      </c>
      <c r="C61" s="117">
        <v>10500</v>
      </c>
    </row>
    <row r="62" spans="2:4">
      <c r="B62" s="107" t="s">
        <v>105</v>
      </c>
      <c r="C62" s="117">
        <v>30</v>
      </c>
    </row>
    <row r="63" spans="2:4">
      <c r="B63" s="107" t="s">
        <v>106</v>
      </c>
      <c r="C63" s="117">
        <v>40.950000000000003</v>
      </c>
    </row>
    <row r="64" spans="2:4">
      <c r="B64" s="107" t="s">
        <v>107</v>
      </c>
      <c r="C64" s="110">
        <v>9125</v>
      </c>
    </row>
    <row r="65" spans="2:3">
      <c r="B65" s="107" t="s">
        <v>108</v>
      </c>
      <c r="C65" s="117">
        <v>28.35</v>
      </c>
    </row>
    <row r="66" spans="2:3">
      <c r="B66" s="107" t="s">
        <v>109</v>
      </c>
      <c r="C66" s="117">
        <v>246375</v>
      </c>
    </row>
    <row r="67" spans="2:3">
      <c r="B67" s="107" t="s">
        <v>110</v>
      </c>
      <c r="C67" s="117">
        <f>C60*C61</f>
        <v>54705</v>
      </c>
    </row>
    <row r="68" spans="2:3">
      <c r="B68" s="182" t="s">
        <v>133</v>
      </c>
      <c r="C68" s="183"/>
    </row>
    <row r="69" spans="2:3">
      <c r="B69" s="107" t="s">
        <v>134</v>
      </c>
      <c r="C69" s="117">
        <f>C60*C61</f>
        <v>54705</v>
      </c>
    </row>
    <row r="70" spans="2:3">
      <c r="B70" s="107" t="s">
        <v>135</v>
      </c>
      <c r="C70" s="117">
        <f>C67</f>
        <v>54705</v>
      </c>
    </row>
    <row r="71" spans="2:3">
      <c r="B71" s="107" t="s">
        <v>136</v>
      </c>
      <c r="C71" s="117">
        <f>C62*C61</f>
        <v>315000</v>
      </c>
    </row>
    <row r="72" spans="2:3">
      <c r="B72" s="107" t="s">
        <v>137</v>
      </c>
      <c r="C72" s="117">
        <f>(C61-C64)*C63</f>
        <v>56306.250000000007</v>
      </c>
    </row>
    <row r="73" spans="2:3">
      <c r="B73" s="107" t="s">
        <v>138</v>
      </c>
      <c r="C73" s="117">
        <f>C66+C59</f>
        <v>258693.75</v>
      </c>
    </row>
    <row r="74" spans="2:3">
      <c r="B74" s="173" t="s">
        <v>111</v>
      </c>
      <c r="C74" s="174"/>
    </row>
    <row r="75" spans="2:3">
      <c r="B75" s="111" t="s">
        <v>112</v>
      </c>
      <c r="C75" s="108"/>
    </row>
    <row r="76" spans="2:3">
      <c r="B76" s="107" t="s">
        <v>113</v>
      </c>
      <c r="C76" s="117">
        <f>C69*1.05</f>
        <v>57440.25</v>
      </c>
    </row>
    <row r="77" spans="2:3">
      <c r="B77" s="107" t="s">
        <v>139</v>
      </c>
      <c r="C77" s="117">
        <f>C62*C61</f>
        <v>315000</v>
      </c>
    </row>
    <row r="78" spans="2:3">
      <c r="B78" s="107" t="s">
        <v>140</v>
      </c>
      <c r="C78" s="117">
        <f>-(C66+C59)</f>
        <v>-258693.75</v>
      </c>
    </row>
    <row r="79" spans="2:3">
      <c r="B79" s="107" t="s">
        <v>141</v>
      </c>
      <c r="C79" s="117">
        <f>(C61-C64)*C63*(-1)</f>
        <v>-56306.250000000007</v>
      </c>
    </row>
    <row r="80" spans="2:3">
      <c r="B80" s="111" t="s">
        <v>142</v>
      </c>
      <c r="C80" s="118">
        <f>SUM(C76:C79)</f>
        <v>57440.249999999993</v>
      </c>
    </row>
    <row r="81" spans="2:3">
      <c r="B81" s="112"/>
      <c r="C81" s="113"/>
    </row>
    <row r="82" spans="2:3">
      <c r="B82" s="111" t="s">
        <v>119</v>
      </c>
      <c r="C82" s="108"/>
    </row>
    <row r="83" spans="2:3">
      <c r="B83" s="107" t="s">
        <v>113</v>
      </c>
      <c r="C83" s="117">
        <f>C76</f>
        <v>57440.25</v>
      </c>
    </row>
    <row r="84" spans="2:3">
      <c r="B84" s="107" t="s">
        <v>120</v>
      </c>
      <c r="C84" s="117">
        <f>C65*C64</f>
        <v>258693.75</v>
      </c>
    </row>
    <row r="85" spans="2:3">
      <c r="B85" s="107" t="s">
        <v>140</v>
      </c>
      <c r="C85" s="117">
        <f>-(C66+C59)</f>
        <v>-258693.75</v>
      </c>
    </row>
    <row r="86" spans="2:3">
      <c r="B86" s="107" t="s">
        <v>141</v>
      </c>
      <c r="C86" s="117">
        <v>0</v>
      </c>
    </row>
    <row r="87" spans="2:3">
      <c r="B87" s="111" t="s">
        <v>143</v>
      </c>
      <c r="C87" s="118">
        <f>SUM(C83:C86)</f>
        <v>57440.25</v>
      </c>
    </row>
    <row r="88" spans="2:3">
      <c r="B88" s="112"/>
      <c r="C88" s="113"/>
    </row>
    <row r="89" spans="2:3">
      <c r="B89" s="114" t="s">
        <v>122</v>
      </c>
      <c r="C89" s="115"/>
    </row>
    <row r="90" spans="2:3">
      <c r="B90" s="107" t="s">
        <v>123</v>
      </c>
      <c r="C90" s="117">
        <f>C60</f>
        <v>5.21</v>
      </c>
    </row>
    <row r="91" spans="2:3">
      <c r="B91" s="107" t="s">
        <v>124</v>
      </c>
      <c r="C91" s="117">
        <f>C60</f>
        <v>5.21</v>
      </c>
    </row>
    <row r="92" spans="2:3">
      <c r="B92" s="107" t="s">
        <v>104</v>
      </c>
      <c r="C92" s="110">
        <f>C61</f>
        <v>10500</v>
      </c>
    </row>
    <row r="93" spans="2:3">
      <c r="B93" s="107" t="s">
        <v>105</v>
      </c>
      <c r="C93" s="117">
        <f>C62</f>
        <v>30</v>
      </c>
    </row>
    <row r="94" spans="2:3">
      <c r="B94" s="107" t="s">
        <v>125</v>
      </c>
      <c r="C94" s="117">
        <f>C63</f>
        <v>40.950000000000003</v>
      </c>
    </row>
    <row r="95" spans="2:3">
      <c r="B95" s="107" t="s">
        <v>126</v>
      </c>
      <c r="C95" s="117">
        <f>C65</f>
        <v>28.35</v>
      </c>
    </row>
    <row r="96" spans="2:3">
      <c r="B96" s="107" t="s">
        <v>127</v>
      </c>
      <c r="C96" s="117">
        <f>C60*C61</f>
        <v>54705</v>
      </c>
    </row>
    <row r="97" spans="2:5">
      <c r="B97" s="107" t="s">
        <v>128</v>
      </c>
      <c r="C97" s="117">
        <f>MAX(0, (C63-C62)*C61)</f>
        <v>114975.00000000003</v>
      </c>
    </row>
    <row r="98" spans="2:5">
      <c r="B98" s="107" t="s">
        <v>129</v>
      </c>
      <c r="C98" s="117">
        <f>MAX(0, (C65-C62)*C61)</f>
        <v>0</v>
      </c>
      <c r="E98" s="105"/>
    </row>
    <row r="99" spans="2:5">
      <c r="B99" s="107" t="s">
        <v>130</v>
      </c>
      <c r="C99" s="117">
        <f>C97-C96</f>
        <v>60270.000000000029</v>
      </c>
    </row>
    <row r="100" spans="2:5">
      <c r="B100" s="107" t="s">
        <v>131</v>
      </c>
      <c r="C100" s="117">
        <f>0.5*C99</f>
        <v>30135.000000000015</v>
      </c>
    </row>
    <row r="101" spans="2:5" ht="15" thickBot="1">
      <c r="B101" s="116" t="s">
        <v>144</v>
      </c>
      <c r="C101" s="119">
        <f>C100-C57</f>
        <v>2760.0000000000146</v>
      </c>
    </row>
  </sheetData>
  <mergeCells count="9">
    <mergeCell ref="B2:G2"/>
    <mergeCell ref="B17:H17"/>
    <mergeCell ref="Y16:AD16"/>
    <mergeCell ref="B55:C55"/>
    <mergeCell ref="B74:C74"/>
    <mergeCell ref="B56:C56"/>
    <mergeCell ref="B68:C68"/>
    <mergeCell ref="B45:H45"/>
    <mergeCell ref="B26:G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90EE-8090-430B-B115-AFD6193793FA}">
  <dimension ref="B2:I38"/>
  <sheetViews>
    <sheetView topLeftCell="A18" workbookViewId="0">
      <selection activeCell="F24" sqref="F24"/>
    </sheetView>
  </sheetViews>
  <sheetFormatPr defaultRowHeight="14.45"/>
  <cols>
    <col min="4" max="4" width="34.85546875" bestFit="1" customWidth="1"/>
  </cols>
  <sheetData>
    <row r="2" spans="2:9">
      <c r="B2" t="s">
        <v>70</v>
      </c>
      <c r="C2">
        <v>30</v>
      </c>
      <c r="E2" s="53" t="s">
        <v>145</v>
      </c>
    </row>
    <row r="3" spans="2:9" ht="15" thickBot="1">
      <c r="B3" t="s">
        <v>146</v>
      </c>
      <c r="C3">
        <v>1.3</v>
      </c>
      <c r="E3" s="53" t="s">
        <v>9</v>
      </c>
      <c r="F3" s="53" t="s">
        <v>10</v>
      </c>
      <c r="G3" s="53" t="s">
        <v>11</v>
      </c>
      <c r="H3" s="53" t="s">
        <v>12</v>
      </c>
      <c r="I3" s="53" t="s">
        <v>13</v>
      </c>
    </row>
    <row r="4" spans="2:9" ht="19.899999999999999" customHeight="1">
      <c r="B4" t="s">
        <v>147</v>
      </c>
      <c r="C4">
        <v>0.9</v>
      </c>
      <c r="E4" s="54"/>
      <c r="F4" s="55"/>
      <c r="G4" s="55"/>
      <c r="H4" s="55"/>
      <c r="I4" s="56">
        <f>$H$5*$C$3</f>
        <v>85.683000000000021</v>
      </c>
    </row>
    <row r="5" spans="2:9" ht="19.899999999999999" customHeight="1">
      <c r="B5" t="s">
        <v>148</v>
      </c>
      <c r="C5">
        <v>0.05</v>
      </c>
      <c r="E5" s="57"/>
      <c r="F5" s="58"/>
      <c r="G5" s="58"/>
      <c r="H5" s="58">
        <f>$G$6*$C$3</f>
        <v>65.910000000000011</v>
      </c>
      <c r="I5" s="59"/>
    </row>
    <row r="6" spans="2:9" ht="19.899999999999999" customHeight="1">
      <c r="B6" t="s">
        <v>149</v>
      </c>
      <c r="C6">
        <v>0.5</v>
      </c>
      <c r="E6" s="57"/>
      <c r="F6" s="58"/>
      <c r="G6" s="58">
        <f>$F$7*$C$3</f>
        <v>50.7</v>
      </c>
      <c r="H6" s="58"/>
      <c r="I6" s="59">
        <f>$H$5*$C$4</f>
        <v>59.31900000000001</v>
      </c>
    </row>
    <row r="7" spans="2:9" ht="19.899999999999999" customHeight="1">
      <c r="B7" t="s">
        <v>150</v>
      </c>
      <c r="C7">
        <f>(1+$C$5-$C$4)/($C$3-$C$4)</f>
        <v>0.37500000000000006</v>
      </c>
      <c r="E7" s="57"/>
      <c r="F7" s="58">
        <f>$E$8*$C$3</f>
        <v>39</v>
      </c>
      <c r="G7" s="58"/>
      <c r="H7" s="58">
        <f>$G$6*$C$4</f>
        <v>45.63</v>
      </c>
      <c r="I7" s="59"/>
    </row>
    <row r="8" spans="2:9" ht="19.899999999999999" customHeight="1">
      <c r="B8" t="s">
        <v>151</v>
      </c>
      <c r="C8">
        <v>30</v>
      </c>
      <c r="E8" s="57">
        <f>$C$2</f>
        <v>30</v>
      </c>
      <c r="F8" s="58"/>
      <c r="G8" s="58">
        <f>$F$7*$C$4</f>
        <v>35.1</v>
      </c>
      <c r="H8" s="58"/>
      <c r="I8" s="59">
        <f>$H$7*$C$4</f>
        <v>41.067</v>
      </c>
    </row>
    <row r="9" spans="2:9" ht="19.899999999999999" customHeight="1">
      <c r="E9" s="57"/>
      <c r="F9" s="58">
        <f>$E$8*$C$4</f>
        <v>27</v>
      </c>
      <c r="G9" s="58"/>
      <c r="H9" s="58">
        <f>$G$8*$C$4</f>
        <v>31.590000000000003</v>
      </c>
      <c r="I9" s="59"/>
    </row>
    <row r="10" spans="2:9" ht="19.899999999999999" customHeight="1">
      <c r="E10" s="57"/>
      <c r="F10" s="58"/>
      <c r="G10" s="58">
        <f>$F$9*$C$4</f>
        <v>24.3</v>
      </c>
      <c r="H10" s="58"/>
      <c r="I10" s="59">
        <f>$H$9*$C$4</f>
        <v>28.431000000000004</v>
      </c>
    </row>
    <row r="11" spans="2:9" ht="19.899999999999999" customHeight="1">
      <c r="E11" s="57"/>
      <c r="F11" s="58"/>
      <c r="G11" s="58"/>
      <c r="H11" s="58">
        <f>$G$10*$C$4</f>
        <v>21.87</v>
      </c>
      <c r="I11" s="59"/>
    </row>
    <row r="12" spans="2:9" ht="19.899999999999999" customHeight="1" thickBot="1">
      <c r="E12" s="60"/>
      <c r="F12" s="61"/>
      <c r="G12" s="61"/>
      <c r="H12" s="61"/>
      <c r="I12" s="62">
        <f>$H$11*$C$4</f>
        <v>19.683</v>
      </c>
    </row>
    <row r="13" spans="2:9" ht="15" thickBot="1"/>
    <row r="14" spans="2:9" ht="15" thickBot="1">
      <c r="D14" t="s">
        <v>152</v>
      </c>
      <c r="E14" s="63">
        <f>$C$2</f>
        <v>30</v>
      </c>
      <c r="F14" s="64">
        <f>$F$7*$C$6 + $F$9*(1-$C$6)</f>
        <v>33</v>
      </c>
      <c r="G14" s="64">
        <f>$G$6*($C$6^2) + $G$8*(2*$C$6*(1-$C$6)) + $G$10*((1-$C$6)^2)</f>
        <v>36.300000000000004</v>
      </c>
      <c r="H14" s="64">
        <f>$H$5*($C$6^3) + $H$7*(3*$C$6^2*(1-$C$6)) + $H$9*(3*$C$6*(1-$C$6)^2) + $H$11*((1-$C$6)^3)</f>
        <v>39.930000000000007</v>
      </c>
      <c r="I14" s="65">
        <f>$I$4*($C$6^4) + $I$6*(4*$C$6^3*(1-$C$6)) + $I$8*(6*$C$6^2*(1-$C$6)^2) + $I$10*(4*$C$6*(1-$C$6)^3) + $I$12*((1-$C$6)^4)</f>
        <v>43.923000000000009</v>
      </c>
    </row>
    <row r="15" spans="2:9" ht="15" thickBot="1"/>
    <row r="16" spans="2:9" ht="15" thickBot="1">
      <c r="D16" t="s">
        <v>153</v>
      </c>
      <c r="E16" s="63">
        <f>$C$2</f>
        <v>30</v>
      </c>
      <c r="F16" s="64">
        <f>$F$7*$C$7 + $F$9*(1-$C$7)</f>
        <v>31.5</v>
      </c>
      <c r="G16" s="64">
        <f>$G$6*($C$7^2) + $G$8*(2*$C$7*(1-$C$7)) + $G$10*((1-$C$7)^2)</f>
        <v>33.075000000000003</v>
      </c>
      <c r="H16" s="64">
        <f>$H$5*($C$7^3) + $H$7*(3*$C$7^2*(1-$C$7)) + $H$9*(3*$C$7*(1-$C$7)^2) + $H$11*((1-$C$7)^3)</f>
        <v>34.728750000000012</v>
      </c>
      <c r="I16" s="65">
        <f>$I$4*($C$7^4) + $I$6*(4*$C$7^3*(1-$C$7)) + $I$8*(6*$C$7^2*(1-$C$7)^2) + $I$10*(4*$C$7*(1-$C$7)^3) + $I$12*((1-$C$7)^4)</f>
        <v>36.465187500000013</v>
      </c>
    </row>
    <row r="20" spans="4:9" ht="19.899999999999999" customHeight="1">
      <c r="D20" t="s">
        <v>154</v>
      </c>
      <c r="E20" s="66"/>
      <c r="F20" s="67"/>
      <c r="G20" s="67"/>
      <c r="H20" s="67"/>
      <c r="I20" s="68">
        <f>MAX($I$4-$C$8,0)</f>
        <v>55.683000000000021</v>
      </c>
    </row>
    <row r="21" spans="4:9" ht="19.899999999999999" customHeight="1">
      <c r="E21" s="69"/>
      <c r="F21" s="70"/>
      <c r="G21" s="70"/>
      <c r="H21" s="70">
        <f>MAX($H$5-$C$8,0)</f>
        <v>35.910000000000011</v>
      </c>
      <c r="I21" s="71"/>
    </row>
    <row r="22" spans="4:9" ht="19.899999999999999" customHeight="1">
      <c r="E22" s="69"/>
      <c r="F22" s="70"/>
      <c r="G22" s="70">
        <f>MAX($G$6-$C$8,0)</f>
        <v>20.700000000000003</v>
      </c>
      <c r="H22" s="70"/>
      <c r="I22" s="71">
        <f>MAX($I$6-$C$8,0)</f>
        <v>29.31900000000001</v>
      </c>
    </row>
    <row r="23" spans="4:9" ht="19.899999999999999" customHeight="1">
      <c r="E23" s="69"/>
      <c r="F23" s="58">
        <f>MAX($F$7-$C$8,0)</f>
        <v>9</v>
      </c>
      <c r="G23" s="70"/>
      <c r="H23" s="70">
        <f>MAX($H$7-$C$8,0)</f>
        <v>15.630000000000003</v>
      </c>
      <c r="I23" s="71"/>
    </row>
    <row r="24" spans="4:9" ht="19.899999999999999" customHeight="1">
      <c r="E24" s="69">
        <f>MAX($E$8-$C$8,0)</f>
        <v>0</v>
      </c>
      <c r="F24" s="70"/>
      <c r="G24" s="70">
        <f>MAX($G$8-$C$8,0)</f>
        <v>5.1000000000000014</v>
      </c>
      <c r="H24" s="70"/>
      <c r="I24" s="71">
        <f>MAX($I$8-$C$8,0)</f>
        <v>11.067</v>
      </c>
    </row>
    <row r="25" spans="4:9" ht="19.899999999999999" customHeight="1">
      <c r="E25" s="69"/>
      <c r="F25" s="70">
        <f>MAX($F$9-$C$8,0)</f>
        <v>0</v>
      </c>
      <c r="G25" s="70"/>
      <c r="H25" s="70">
        <f>MAX($H$9-$C$8,0)</f>
        <v>1.5900000000000034</v>
      </c>
      <c r="I25" s="71"/>
    </row>
    <row r="26" spans="4:9" ht="19.899999999999999" customHeight="1">
      <c r="E26" s="69"/>
      <c r="F26" s="70"/>
      <c r="G26" s="70">
        <f>MAX($G$10-$C$8,0)</f>
        <v>0</v>
      </c>
      <c r="H26" s="70"/>
      <c r="I26" s="71">
        <f>MAX($I$10-$C$8,0)</f>
        <v>0</v>
      </c>
    </row>
    <row r="27" spans="4:9" ht="19.899999999999999" customHeight="1">
      <c r="E27" s="69"/>
      <c r="F27" s="70"/>
      <c r="G27" s="70"/>
      <c r="H27" s="70">
        <f>MAX($H$11-$C$8,0)</f>
        <v>0</v>
      </c>
      <c r="I27" s="71"/>
    </row>
    <row r="28" spans="4:9" ht="19.899999999999999" customHeight="1" thickBot="1">
      <c r="E28" s="72"/>
      <c r="F28" s="73"/>
      <c r="G28" s="73"/>
      <c r="H28" s="73"/>
      <c r="I28" s="74">
        <f>MAX($I$12-$C$8,0)</f>
        <v>0</v>
      </c>
    </row>
    <row r="29" spans="4:9" ht="15" thickBot="1"/>
    <row r="30" spans="4:9" ht="15" thickBot="1">
      <c r="D30" t="s">
        <v>155</v>
      </c>
      <c r="E30" s="63">
        <f>$E$24</f>
        <v>0</v>
      </c>
      <c r="F30" s="64">
        <f>$F$23*$C$6 + $F$25*(1-$C$6)</f>
        <v>4.5</v>
      </c>
      <c r="G30" s="64">
        <f>$G$22*($C$6^2) + $G$24*(2*$C$6*(1-$C$6)) + $G$26*((1-$C$6)^2)</f>
        <v>7.7250000000000014</v>
      </c>
      <c r="H30" s="64">
        <f>$H$21*($C$6^3) + $H$23*(3*$C$6^2*(1-$C$6)) + $H$25*(3*$C$6*(1-$C$6)^2) + $H$27*((1-$C$6)^3)</f>
        <v>10.946250000000003</v>
      </c>
      <c r="I30" s="65">
        <f>$I$20*($C$6^4) + $I$22*(4*$C$6^3*(1-$C$6)) + $I$24*(6*$C$6^2*(1-$C$6)^2) + $I$26*(4*$C$6*(1-$C$6)^3) + $I$28*((1-$C$6)^4)</f>
        <v>14.960062500000003</v>
      </c>
    </row>
    <row r="31" spans="4:9" ht="15" thickBot="1"/>
    <row r="32" spans="4:9" ht="15" thickBot="1">
      <c r="D32" t="s">
        <v>156</v>
      </c>
      <c r="E32" s="63">
        <f>$E$30/(1+$C$5)^0</f>
        <v>0</v>
      </c>
      <c r="F32" s="64">
        <f>$F$30/(1+$C$5)^1</f>
        <v>4.2857142857142856</v>
      </c>
      <c r="G32" s="64">
        <f>$G$30/(1+$C$5)^2</f>
        <v>7.0068027210884365</v>
      </c>
      <c r="H32" s="64">
        <f>$H$30/(1+$C$5)^3</f>
        <v>9.4557823129251712</v>
      </c>
      <c r="I32" s="65">
        <f>$I$30/(1+$C$5)^4</f>
        <v>12.307680441791231</v>
      </c>
    </row>
    <row r="36" spans="4:9" ht="15" thickBot="1">
      <c r="D36" t="s">
        <v>157</v>
      </c>
      <c r="E36" s="63">
        <f>$E$24</f>
        <v>0</v>
      </c>
      <c r="F36" s="64">
        <f>$F$23*$C$7 + $F$25*(1-$C$7)</f>
        <v>3.3750000000000004</v>
      </c>
      <c r="G36" s="64">
        <f>$G$22*($C$7^2) + $G$24*(2*$C$7*(1-$C$7)) + $G$26*((1-$C$7)^2)</f>
        <v>5.3015625000000028</v>
      </c>
      <c r="H36" s="64">
        <f>$H$21*($C$7^3) + $H$23*(3*$C$7^2*(1-$C$7)) + $H$25*(3*$C$7*(1-$C$7)^2) + $H$27*((1-$C$7)^3)</f>
        <v>6.7136132812500051</v>
      </c>
      <c r="I36" s="65">
        <f>$I$20*($C$7^4) + $I$22*(4*$C$7^3*(1-$C$7)) + $I$24*(6*$C$7^2*(1-$C$7)^2) + $I$26*(4*$C$7*(1-$C$7)^3) + $I$28*((1-$C$7)^4)</f>
        <v>8.6140217285156311</v>
      </c>
    </row>
    <row r="37" spans="4:9" ht="15" thickBot="1"/>
    <row r="38" spans="4:9" ht="15" thickBot="1">
      <c r="D38" t="s">
        <v>158</v>
      </c>
      <c r="E38" s="63">
        <f>$E$36/(1+$C$5)^0</f>
        <v>0</v>
      </c>
      <c r="F38" s="64">
        <f>$F$36/(1+$C$5)^1</f>
        <v>3.2142857142857144</v>
      </c>
      <c r="G38" s="64">
        <f>$G$36/(1+$C$5)^2</f>
        <v>4.8086734693877577</v>
      </c>
      <c r="H38" s="64">
        <f>$H$36/(1+$C$5)^3</f>
        <v>5.799471574344027</v>
      </c>
      <c r="I38" s="65">
        <f>$I$36/(1+$C$5)^4</f>
        <v>7.0867769939608545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235F-9494-4FDB-B266-C1E703C662B1}">
  <dimension ref="B1:Q18"/>
  <sheetViews>
    <sheetView workbookViewId="0">
      <selection activeCell="N12" sqref="N12"/>
    </sheetView>
  </sheetViews>
  <sheetFormatPr defaultRowHeight="14.45"/>
  <cols>
    <col min="2" max="2" width="15" customWidth="1"/>
    <col min="3" max="3" width="6" bestFit="1" customWidth="1"/>
    <col min="5" max="5" width="28.28515625" bestFit="1" customWidth="1"/>
    <col min="6" max="17" width="11" customWidth="1"/>
  </cols>
  <sheetData>
    <row r="1" spans="2:17" ht="15" thickBot="1"/>
    <row r="2" spans="2:17">
      <c r="B2" s="53" t="s">
        <v>99</v>
      </c>
      <c r="E2" s="75" t="s">
        <v>159</v>
      </c>
      <c r="F2" s="76"/>
      <c r="G2" s="76"/>
      <c r="H2" s="76"/>
      <c r="I2" s="77"/>
      <c r="M2" s="75" t="s">
        <v>160</v>
      </c>
      <c r="N2" s="76"/>
      <c r="O2" s="76"/>
      <c r="P2" s="76"/>
      <c r="Q2" s="77"/>
    </row>
    <row r="3" spans="2:17">
      <c r="B3" s="53" t="s">
        <v>70</v>
      </c>
      <c r="C3">
        <v>30</v>
      </c>
      <c r="E3" s="184" t="s">
        <v>161</v>
      </c>
      <c r="F3" s="185"/>
      <c r="G3" s="185"/>
      <c r="H3" s="185"/>
      <c r="I3" s="186"/>
      <c r="M3" s="184" t="s">
        <v>161</v>
      </c>
      <c r="N3" s="185"/>
      <c r="O3" s="185"/>
      <c r="P3" s="185"/>
      <c r="Q3" s="186"/>
    </row>
    <row r="4" spans="2:17">
      <c r="B4" s="53" t="s">
        <v>146</v>
      </c>
      <c r="C4">
        <v>1.3</v>
      </c>
      <c r="E4" s="78" t="s">
        <v>9</v>
      </c>
      <c r="F4" s="79" t="s">
        <v>10</v>
      </c>
      <c r="G4" s="79" t="s">
        <v>11</v>
      </c>
      <c r="H4" s="79" t="s">
        <v>12</v>
      </c>
      <c r="I4" s="80" t="s">
        <v>13</v>
      </c>
      <c r="M4" s="78" t="s">
        <v>9</v>
      </c>
      <c r="N4" s="79" t="s">
        <v>10</v>
      </c>
      <c r="O4" s="79" t="s">
        <v>11</v>
      </c>
      <c r="P4" s="79" t="s">
        <v>12</v>
      </c>
      <c r="Q4" s="80" t="s">
        <v>13</v>
      </c>
    </row>
    <row r="5" spans="2:17">
      <c r="B5" s="53" t="s">
        <v>147</v>
      </c>
      <c r="C5">
        <v>0.9</v>
      </c>
      <c r="E5" s="81"/>
      <c r="F5" s="82"/>
      <c r="G5" s="82"/>
      <c r="H5" s="82"/>
      <c r="I5" s="83"/>
      <c r="M5" s="81"/>
      <c r="N5" s="82"/>
      <c r="O5" s="82"/>
      <c r="P5" s="82"/>
      <c r="Q5" s="83"/>
    </row>
    <row r="6" spans="2:17">
      <c r="B6" s="53" t="s">
        <v>148</v>
      </c>
      <c r="C6">
        <v>0.05</v>
      </c>
      <c r="E6" s="81"/>
      <c r="F6" s="82"/>
      <c r="G6" s="82"/>
      <c r="H6" s="82"/>
      <c r="I6" s="83"/>
      <c r="M6" s="81"/>
      <c r="N6" s="82"/>
      <c r="O6" s="82"/>
      <c r="P6" s="82"/>
      <c r="Q6" s="83"/>
    </row>
    <row r="7" spans="2:17">
      <c r="B7" s="53" t="s">
        <v>149</v>
      </c>
      <c r="C7">
        <v>0.5</v>
      </c>
      <c r="E7" s="81"/>
      <c r="F7" s="82"/>
      <c r="G7" s="82"/>
      <c r="H7" s="82"/>
      <c r="I7" s="83"/>
      <c r="M7" s="81"/>
      <c r="N7" s="82"/>
      <c r="O7" s="82"/>
      <c r="P7" s="82"/>
      <c r="Q7" s="83"/>
    </row>
    <row r="8" spans="2:17">
      <c r="B8" s="53" t="s">
        <v>162</v>
      </c>
      <c r="C8">
        <v>0.25</v>
      </c>
      <c r="E8" s="81"/>
      <c r="F8" s="82"/>
      <c r="G8" s="82"/>
      <c r="H8" s="82"/>
      <c r="I8" s="83">
        <f>MAX($C$3*($C$9^4)*($C$10^0)-$C$11,0)/(1+$C$6)^4*COMBIN(4,4)*$C$7^4*(1-$C$7)^0</f>
        <v>3.8126203597652246</v>
      </c>
      <c r="M8" s="81"/>
      <c r="N8" s="82"/>
      <c r="O8" s="82"/>
      <c r="P8" s="82"/>
      <c r="Q8" s="83">
        <f>MAX($C$3*($C$9^4)*($C$10^0)-$C$11,0)/(1+$C$6)^4*COMBIN(4,4)*$C$8^4*(1-$C$8)^0</f>
        <v>0.23828877248532654</v>
      </c>
    </row>
    <row r="9" spans="2:17">
      <c r="B9" s="53" t="s">
        <v>163</v>
      </c>
      <c r="C9">
        <f>(1+$C$6)*$C$4</f>
        <v>1.3650000000000002</v>
      </c>
      <c r="E9" s="81"/>
      <c r="F9" s="82"/>
      <c r="G9" s="82"/>
      <c r="H9" s="82">
        <f>MAX($C$3*($C$9^3)*($C$10^0)-$C$11,0)/(1+$C$6)^3*COMBIN(3,3)*$C$7^3*(1-$C$7)^0</f>
        <v>4.9993590055069674</v>
      </c>
      <c r="I9" s="83"/>
      <c r="M9" s="81"/>
      <c r="N9" s="82"/>
      <c r="O9" s="82"/>
      <c r="P9" s="82">
        <f>MAX($C$3*($C$9^3)*($C$10^0)-$C$11,0)/(1+$C$6)^3*COMBIN(3,3)*$C$8^3*(1-$C$8)^0</f>
        <v>0.62491987568837093</v>
      </c>
      <c r="Q9" s="83"/>
    </row>
    <row r="10" spans="2:17">
      <c r="B10" s="53" t="s">
        <v>164</v>
      </c>
      <c r="C10">
        <f>(1+$C$6)*$C$5</f>
        <v>0.94500000000000006</v>
      </c>
      <c r="E10" s="81"/>
      <c r="F10" s="82"/>
      <c r="G10" s="82">
        <f>MAX($C$3*($C$9^2)*($C$10^0)-$C$11,0)/(1+$C$6)^2*COMBIN(2,2)*$C$7^2*(1-$C$7)^0</f>
        <v>5.8722789115646297</v>
      </c>
      <c r="H10" s="82"/>
      <c r="I10" s="83">
        <f>MAX($C$3*($C$9^3)*($C$10^1)-$C$11,0)/(1+$C$6)^4*COMBIN(4,3)*$C$7^3*(1-$C$7)^1</f>
        <v>8.6594814390608921</v>
      </c>
      <c r="M10" s="81"/>
      <c r="N10" s="82"/>
      <c r="O10" s="82">
        <f>MAX($C$3*($C$9^2)*($C$10^0)-$C$11,0)/(1+$C$6)^2*COMBIN(2,2)*$C$8^2*(1-$C$8)^0</f>
        <v>1.4680697278911574</v>
      </c>
      <c r="P10" s="82"/>
      <c r="Q10" s="83">
        <f>MAX($C$3*($C$9^3)*($C$10^1)-$C$11,0)/(1+$C$6)^4*COMBIN(4,3)*$C$8^3*(1-$C$8)^1</f>
        <v>1.6236527698239174</v>
      </c>
    </row>
    <row r="11" spans="2:17">
      <c r="B11" s="53" t="s">
        <v>151</v>
      </c>
      <c r="C11">
        <v>30</v>
      </c>
      <c r="E11" s="81"/>
      <c r="F11" s="82">
        <f>MAX($C$3*($C$9^1)*($C$10^0)-$C$11,0)/(1+$C$6)^1*COMBIN(1,1)*$C$7^1*(1-$C$7)^0</f>
        <v>5.2142857142857153</v>
      </c>
      <c r="G11" s="82"/>
      <c r="H11" s="82">
        <f>MAX($C$3*($C$9^2)*($C$10^1)-$C$11,0)/(1+$C$6)^3*COMBIN(3,2)*$C$7^2*(1-$C$7)^1</f>
        <v>7.3930770165209001</v>
      </c>
      <c r="I11" s="83"/>
      <c r="M11" s="81"/>
      <c r="N11" s="82">
        <f>MAX($C$3*($C$9^1)*($C$10^0)-$C$11,0)/(1+$C$6)^1*COMBIN(1,1)*$C$8^1*(1-$C$8)^0</f>
        <v>2.6071428571428577</v>
      </c>
      <c r="O11" s="82"/>
      <c r="P11" s="82">
        <f>MAX($C$3*($C$9^2)*($C$10^1)-$C$11,0)/(1+$C$6)^3*COMBIN(3,2)*$C$8^2*(1-$C$8)^1</f>
        <v>2.7724038811953378</v>
      </c>
      <c r="Q11" s="83"/>
    </row>
    <row r="12" spans="2:17">
      <c r="E12" s="81">
        <f>MAX($C$3*($C$9^0)*($C$10^0)-$C$11,0)/(1+$C$6)^0*COMBIN(0,0)*$C$7^0*(1-$C$7)^0</f>
        <v>0</v>
      </c>
      <c r="F12" s="82"/>
      <c r="G12" s="82">
        <f>MAX($C$3*($C$9^1)*($C$10^1)-$C$11,0)/(1+$C$6)^2*COMBIN(2,1)*$C$7^1*(1-$C$7)^1</f>
        <v>3.9445578231292546</v>
      </c>
      <c r="H12" s="82"/>
      <c r="I12" s="83">
        <f>MAX($C$3*($C$9^2)*($C$10^2)-$C$11,0)/(1+$C$6)^4*COMBIN(4,2)*$C$7^2*(1-$C$7)^2</f>
        <v>6.1447221585913336</v>
      </c>
      <c r="M12" s="81">
        <f>MAX($C$3*($C$9^0)*($C$10^0)-$C$11,0)/(1+$C$6)^0*COMBIN(0,0)*$C$8^0*(1-$C$8)^0</f>
        <v>0</v>
      </c>
      <c r="N12" s="82"/>
      <c r="O12" s="82">
        <f>MAX($C$3*($C$9^1)*($C$10^1)-$C$11,0)/(1+$C$6)^2*COMBIN(2,1)*$C$8^1*(1-$C$8)^1</f>
        <v>2.9584183673469409</v>
      </c>
      <c r="P12" s="82"/>
      <c r="Q12" s="83">
        <f>MAX($C$3*($C$9^2)*($C$10^2)-$C$11,0)/(1+$C$6)^4*COMBIN(4,2)*$C$8^2*(1-$C$8)^2</f>
        <v>3.4564062142076253</v>
      </c>
    </row>
    <row r="13" spans="2:17">
      <c r="E13" s="81"/>
      <c r="F13" s="82">
        <f>MAX($C$3*($C$9^0)*($C$10^1)-$C$11,0)/(1+$C$6)^1*COMBIN(1,0)*$C$7^0*(1-$C$7)^1</f>
        <v>0</v>
      </c>
      <c r="G13" s="82"/>
      <c r="H13" s="82">
        <f>MAX($C$3*($C$9^1)*($C$10^2)-$C$11,0)/(1+$C$6)^3*COMBIN(3,1)*$C$7^1*(1-$C$7)^2</f>
        <v>2.1280770165208951</v>
      </c>
      <c r="I13" s="83"/>
      <c r="M13" s="81"/>
      <c r="N13" s="82">
        <f>MAX($C$3*($C$9^0)*($C$10^1)-$C$11,0)/(1+$C$6)^1*COMBIN(1,0)*$C$8^0*(1-$C$8)^1</f>
        <v>0</v>
      </c>
      <c r="O13" s="82"/>
      <c r="P13" s="82">
        <f>MAX($C$3*($C$9^1)*($C$10^2)-$C$11,0)/(1+$C$6)^3*COMBIN(3,1)*$C$8^1*(1-$C$8)^2</f>
        <v>2.3940866435860069</v>
      </c>
      <c r="Q13" s="83"/>
    </row>
    <row r="14" spans="2:17">
      <c r="E14" s="81"/>
      <c r="F14" s="82"/>
      <c r="G14" s="82">
        <f>MAX($C$3*($C$9^0)*($C$10^2)-$C$11,0)/(1+$C$6)^2*COMBIN(2,0)*$C$7^0*(1-$C$7)^2</f>
        <v>0</v>
      </c>
      <c r="H14" s="82"/>
      <c r="I14" s="83">
        <f>MAX($C$3*($C$9^1)*($C$10^3)-$C$11,0)/(1+$C$6)^4*COMBIN(4,1)*$C$7^1*(1-$C$7)^3</f>
        <v>0.93748143906088655</v>
      </c>
      <c r="M14" s="81"/>
      <c r="N14" s="82"/>
      <c r="O14" s="82">
        <f>MAX($C$3*($C$9^0)*($C$10^2)-$C$11,0)/(1+$C$6)^2*COMBIN(2,0)*$C$8^0*(1-$C$8)^2</f>
        <v>0</v>
      </c>
      <c r="P14" s="82"/>
      <c r="Q14" s="83">
        <f>MAX($C$3*($C$9^1)*($C$10^3)-$C$11,0)/(1+$C$6)^4*COMBIN(4,1)*$C$8^1*(1-$C$8)^3</f>
        <v>1.5819999284152459</v>
      </c>
    </row>
    <row r="15" spans="2:17">
      <c r="E15" s="81"/>
      <c r="F15" s="82"/>
      <c r="G15" s="82"/>
      <c r="H15" s="82">
        <f>MAX($C$3*($C$9^0)*($C$10^3)-$C$11,0)/(1+$C$6)^3*COMBIN(3,0)*$C$7^0*(1-$C$7)^3</f>
        <v>0</v>
      </c>
      <c r="I15" s="83"/>
      <c r="M15" s="81"/>
      <c r="N15" s="82"/>
      <c r="O15" s="82"/>
      <c r="P15" s="82">
        <f>MAX($C$3*($C$9^0)*($C$10^3)-$C$11,0)/(1+$C$6)^3*COMBIN(3,0)*$C$8^0*(1-$C$8)^3</f>
        <v>0</v>
      </c>
      <c r="Q15" s="83"/>
    </row>
    <row r="16" spans="2:17">
      <c r="E16" s="81"/>
      <c r="F16" s="82"/>
      <c r="G16" s="82"/>
      <c r="H16" s="82"/>
      <c r="I16" s="83">
        <f>MAX($C$3*($C$9^0)*($C$10^4)-$C$11,0)/(1+$C$6)^4*COMBIN(4,0)*$C$7^0*(1-$C$7)^4</f>
        <v>0</v>
      </c>
      <c r="M16" s="81"/>
      <c r="N16" s="82"/>
      <c r="O16" s="82"/>
      <c r="P16" s="82"/>
      <c r="Q16" s="83">
        <f>MAX($C$3*($C$9^0)*($C$10^4)-$C$11,0)/(1+$C$6)^4*COMBIN(4,0)*$C$8^0*(1-$C$8)^4</f>
        <v>0</v>
      </c>
    </row>
    <row r="17" spans="5:17">
      <c r="E17" s="81"/>
      <c r="F17" s="82"/>
      <c r="G17" s="82"/>
      <c r="H17" s="82"/>
      <c r="I17" s="83"/>
      <c r="M17" s="81"/>
      <c r="N17" s="82"/>
      <c r="O17" s="82"/>
      <c r="P17" s="82"/>
      <c r="Q17" s="83"/>
    </row>
    <row r="18" spans="5:17" ht="15" thickBot="1">
      <c r="E18" s="84">
        <f>SUM(E12:E12)</f>
        <v>0</v>
      </c>
      <c r="F18" s="85">
        <f>SUM(F11:F13)</f>
        <v>5.2142857142857153</v>
      </c>
      <c r="G18" s="85">
        <f>SUM(G10:G14)</f>
        <v>9.8168367346938847</v>
      </c>
      <c r="H18" s="85">
        <f>SUM(H9:H15)</f>
        <v>14.520513038548764</v>
      </c>
      <c r="I18" s="86">
        <f>SUM(I8:I16)</f>
        <v>19.554305396478338</v>
      </c>
      <c r="M18" s="84">
        <f>SUM(M12:M12)</f>
        <v>0</v>
      </c>
      <c r="N18" s="85">
        <f>SUM(N11:N13)</f>
        <v>2.6071428571428577</v>
      </c>
      <c r="O18" s="85">
        <f>SUM(O10:O14)</f>
        <v>4.4264880952380983</v>
      </c>
      <c r="P18" s="85">
        <f>SUM(P9:P15)</f>
        <v>5.7914104004697151</v>
      </c>
      <c r="Q18" s="86">
        <f>SUM(Q8:Q16)</f>
        <v>6.9003476849321155</v>
      </c>
    </row>
  </sheetData>
  <mergeCells count="2">
    <mergeCell ref="E3:I3"/>
    <mergeCell ref="M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DC23-6B4E-448C-AFF8-5146582EBF0F}">
  <dimension ref="A1:G52"/>
  <sheetViews>
    <sheetView zoomScale="55" zoomScaleNormal="55" workbookViewId="0">
      <pane ySplit="3" topLeftCell="A4" activePane="bottomLeft" state="frozen"/>
      <selection pane="bottomLeft" activeCell="F29" sqref="F29"/>
    </sheetView>
  </sheetViews>
  <sheetFormatPr defaultRowHeight="14.45"/>
  <cols>
    <col min="1" max="1" width="54" bestFit="1" customWidth="1"/>
    <col min="2" max="2" width="18" style="125" customWidth="1"/>
    <col min="3" max="4" width="18" customWidth="1"/>
    <col min="5" max="5" width="4" customWidth="1"/>
    <col min="6" max="6" width="28" customWidth="1"/>
    <col min="7" max="8" width="18" customWidth="1"/>
  </cols>
  <sheetData>
    <row r="1" spans="1:7" ht="18">
      <c r="A1" s="124" t="s">
        <v>98</v>
      </c>
    </row>
    <row r="3" spans="1:7">
      <c r="A3" s="126" t="s">
        <v>99</v>
      </c>
      <c r="F3" s="126" t="s">
        <v>165</v>
      </c>
    </row>
    <row r="4" spans="1:7">
      <c r="A4" s="127" t="s">
        <v>100</v>
      </c>
      <c r="B4" s="128">
        <v>27375</v>
      </c>
      <c r="F4" t="s">
        <v>166</v>
      </c>
      <c r="G4" s="128">
        <f>B15</f>
        <v>57487.499999999993</v>
      </c>
    </row>
    <row r="5" spans="1:7">
      <c r="A5" s="127" t="s">
        <v>101</v>
      </c>
      <c r="B5" s="128">
        <v>0.05</v>
      </c>
      <c r="F5" t="s">
        <v>167</v>
      </c>
      <c r="G5" s="128">
        <f>(B10-B9)*B8</f>
        <v>114975.00000000003</v>
      </c>
    </row>
    <row r="6" spans="1:7">
      <c r="A6" s="127" t="s">
        <v>102</v>
      </c>
      <c r="B6" s="128">
        <v>12318.75</v>
      </c>
      <c r="G6" s="125"/>
    </row>
    <row r="7" spans="1:7">
      <c r="A7" s="127" t="s">
        <v>103</v>
      </c>
      <c r="B7" s="128">
        <f>(0.5*10.95)/1.05</f>
        <v>5.2142857142857135</v>
      </c>
      <c r="F7" s="126" t="s">
        <v>112</v>
      </c>
      <c r="G7" s="125"/>
    </row>
    <row r="8" spans="1:7">
      <c r="A8" s="127" t="s">
        <v>104</v>
      </c>
      <c r="B8" s="129">
        <v>10500</v>
      </c>
      <c r="F8" t="s">
        <v>168</v>
      </c>
      <c r="G8" s="128">
        <f>G5-G4</f>
        <v>57487.500000000036</v>
      </c>
    </row>
    <row r="9" spans="1:7">
      <c r="A9" s="127" t="s">
        <v>105</v>
      </c>
      <c r="B9" s="128">
        <v>30</v>
      </c>
      <c r="G9" s="125"/>
    </row>
    <row r="10" spans="1:7">
      <c r="A10" s="127" t="s">
        <v>106</v>
      </c>
      <c r="B10" s="128">
        <v>40.950000000000003</v>
      </c>
      <c r="F10" s="126" t="s">
        <v>119</v>
      </c>
      <c r="G10" s="125"/>
    </row>
    <row r="11" spans="1:7">
      <c r="A11" s="127" t="s">
        <v>107</v>
      </c>
      <c r="B11" s="129">
        <v>9125</v>
      </c>
      <c r="F11" t="s">
        <v>169</v>
      </c>
      <c r="G11" s="128">
        <f>G4</f>
        <v>57487.499999999993</v>
      </c>
    </row>
    <row r="12" spans="1:7">
      <c r="A12" s="127" t="s">
        <v>108</v>
      </c>
      <c r="B12" s="128">
        <v>28.35</v>
      </c>
      <c r="G12" s="125"/>
    </row>
    <row r="13" spans="1:7">
      <c r="A13" s="130" t="s">
        <v>170</v>
      </c>
      <c r="B13" s="125">
        <f>(246375)</f>
        <v>246375</v>
      </c>
      <c r="G13" s="128"/>
    </row>
    <row r="14" spans="1:7">
      <c r="A14" s="126" t="s">
        <v>133</v>
      </c>
      <c r="F14" t="s">
        <v>171</v>
      </c>
      <c r="G14" s="128">
        <f>G13*G8 + (1-G13)*G11</f>
        <v>57487.499999999993</v>
      </c>
    </row>
    <row r="15" spans="1:7">
      <c r="A15" s="127" t="s">
        <v>172</v>
      </c>
      <c r="B15" s="128">
        <f>B7*B8*1.05</f>
        <v>57487.499999999993</v>
      </c>
      <c r="G15" s="125"/>
    </row>
    <row r="16" spans="1:7">
      <c r="A16" s="127" t="s">
        <v>173</v>
      </c>
      <c r="B16" s="128">
        <f>B8*B9</f>
        <v>315000</v>
      </c>
      <c r="F16" t="s">
        <v>174</v>
      </c>
      <c r="G16" s="128">
        <f>0.25*G8 + 0.75*G11</f>
        <v>57487.5</v>
      </c>
    </row>
    <row r="17" spans="1:2">
      <c r="A17" s="127" t="s">
        <v>175</v>
      </c>
      <c r="B17" s="131">
        <f>(B8-B11)*B10</f>
        <v>56306.250000000007</v>
      </c>
    </row>
    <row r="18" spans="1:2">
      <c r="A18" s="127" t="s">
        <v>176</v>
      </c>
      <c r="B18" s="128">
        <f>(B12)*B11</f>
        <v>258693.75</v>
      </c>
    </row>
    <row r="20" spans="1:2">
      <c r="A20" s="126" t="s">
        <v>111</v>
      </c>
    </row>
    <row r="21" spans="1:2">
      <c r="A21" s="126" t="s">
        <v>112</v>
      </c>
    </row>
    <row r="22" spans="1:2">
      <c r="A22" s="127" t="s">
        <v>113</v>
      </c>
      <c r="B22" s="128">
        <f>B15</f>
        <v>57487.499999999993</v>
      </c>
    </row>
    <row r="23" spans="1:2">
      <c r="A23" s="127" t="s">
        <v>177</v>
      </c>
      <c r="B23" s="128">
        <f>B16</f>
        <v>315000</v>
      </c>
    </row>
    <row r="24" spans="1:2">
      <c r="A24" s="127" t="s">
        <v>178</v>
      </c>
      <c r="B24" s="128">
        <f>B13*1.05*-1</f>
        <v>-258693.75</v>
      </c>
    </row>
    <row r="25" spans="1:2">
      <c r="A25" s="127" t="s">
        <v>141</v>
      </c>
      <c r="B25" s="128">
        <f>B17*-1</f>
        <v>-56306.250000000007</v>
      </c>
    </row>
    <row r="26" spans="1:2">
      <c r="A26" s="132" t="s">
        <v>142</v>
      </c>
      <c r="B26" s="133">
        <f>SUM(B22:B25)</f>
        <v>57487.499999999993</v>
      </c>
    </row>
    <row r="27" spans="1:2">
      <c r="A27" s="126" t="s">
        <v>119</v>
      </c>
    </row>
    <row r="28" spans="1:2">
      <c r="A28" s="127" t="s">
        <v>113</v>
      </c>
      <c r="B28" s="128">
        <f>B15</f>
        <v>57487.499999999993</v>
      </c>
    </row>
    <row r="29" spans="1:2">
      <c r="A29" s="127" t="s">
        <v>177</v>
      </c>
      <c r="B29" s="128">
        <f>B18</f>
        <v>258693.75</v>
      </c>
    </row>
    <row r="30" spans="1:2">
      <c r="A30" s="127" t="s">
        <v>178</v>
      </c>
      <c r="B30" s="128">
        <f>B24</f>
        <v>-258693.75</v>
      </c>
    </row>
    <row r="31" spans="1:2">
      <c r="A31" s="127" t="s">
        <v>141</v>
      </c>
      <c r="B31" s="128"/>
    </row>
    <row r="32" spans="1:2">
      <c r="A32" s="132" t="s">
        <v>143</v>
      </c>
      <c r="B32" s="133">
        <f>SUM(B28:B31)</f>
        <v>57487.5</v>
      </c>
    </row>
    <row r="38" spans="1:2">
      <c r="A38" t="s">
        <v>123</v>
      </c>
      <c r="B38" s="125">
        <f>B39</f>
        <v>5.2142857142857135</v>
      </c>
    </row>
    <row r="39" spans="1:2">
      <c r="A39" t="s">
        <v>124</v>
      </c>
      <c r="B39" s="125">
        <f>B7</f>
        <v>5.2142857142857135</v>
      </c>
    </row>
    <row r="40" spans="1:2">
      <c r="A40" t="s">
        <v>104</v>
      </c>
      <c r="B40" s="134">
        <f>B8</f>
        <v>10500</v>
      </c>
    </row>
    <row r="41" spans="1:2">
      <c r="A41" t="s">
        <v>105</v>
      </c>
      <c r="B41" s="135">
        <f>B9</f>
        <v>30</v>
      </c>
    </row>
    <row r="42" spans="1:2">
      <c r="A42" t="s">
        <v>125</v>
      </c>
      <c r="B42" s="125">
        <f>B10</f>
        <v>40.950000000000003</v>
      </c>
    </row>
    <row r="43" spans="1:2">
      <c r="A43" t="s">
        <v>126</v>
      </c>
      <c r="B43" s="125">
        <f>B12</f>
        <v>28.35</v>
      </c>
    </row>
    <row r="45" spans="1:2">
      <c r="A45" t="s">
        <v>127</v>
      </c>
      <c r="B45" s="125">
        <f>B39*B40</f>
        <v>54749.999999999993</v>
      </c>
    </row>
    <row r="46" spans="1:2">
      <c r="A46" t="s">
        <v>128</v>
      </c>
      <c r="B46" s="125">
        <f>MAX(B42-B41,0)*B40</f>
        <v>114975.00000000003</v>
      </c>
    </row>
    <row r="47" spans="1:2">
      <c r="A47" t="s">
        <v>129</v>
      </c>
      <c r="B47" s="125">
        <f>MAX(B43-B41,0)*B40</f>
        <v>0</v>
      </c>
    </row>
    <row r="49" spans="1:2">
      <c r="A49" t="s">
        <v>179</v>
      </c>
      <c r="B49" s="125">
        <f>B46-B45</f>
        <v>60225.000000000036</v>
      </c>
    </row>
    <row r="52" spans="1:2">
      <c r="A52" t="s">
        <v>180</v>
      </c>
      <c r="B52" s="125">
        <f>0.5*B49 + 0.5*(-B45)</f>
        <v>2737.5000000000218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McNaney</dc:creator>
  <cp:keywords/>
  <dc:description/>
  <cp:lastModifiedBy>Timothy Patrick McNaney</cp:lastModifiedBy>
  <cp:revision/>
  <dcterms:created xsi:type="dcterms:W3CDTF">2026-02-12T01:24:43Z</dcterms:created>
  <dcterms:modified xsi:type="dcterms:W3CDTF">2026-02-19T21:58:02Z</dcterms:modified>
  <cp:category/>
  <cp:contentStatus/>
</cp:coreProperties>
</file>