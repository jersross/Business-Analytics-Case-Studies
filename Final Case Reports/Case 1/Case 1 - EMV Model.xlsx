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dfbry\Downloads\"/>
    </mc:Choice>
  </mc:AlternateContent>
  <xr:revisionPtr revIDLastSave="0" documentId="13_ncr:1_{9E080979-0DF3-4E07-A6FF-825DB0A08E43}" xr6:coauthVersionLast="47" xr6:coauthVersionMax="47" xr10:uidLastSave="{00000000-0000-0000-0000-000000000000}"/>
  <bookViews>
    <workbookView xWindow="-98" yWindow="-98" windowWidth="19396" windowHeight="11475" xr2:uid="{ED6CC9AB-856B-42E6-9DC2-BFB151BCD280}"/>
  </bookViews>
  <sheets>
    <sheet name="Provided Inputs" sheetId="2" r:id="rId1"/>
    <sheet name="Pepp EMV Model" sheetId="3" r:id="rId2"/>
    <sheet name="Summary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7" i="5"/>
  <c r="C6" i="5"/>
  <c r="C5" i="5"/>
  <c r="C4" i="5"/>
  <c r="C3" i="5"/>
  <c r="F62" i="3"/>
  <c r="E62" i="3"/>
  <c r="C62" i="3"/>
  <c r="D62" i="3" s="1"/>
  <c r="F61" i="3"/>
  <c r="E61" i="3"/>
  <c r="C61" i="3"/>
  <c r="D61" i="3" s="1"/>
  <c r="G61" i="3" s="1"/>
  <c r="I61" i="3" s="1"/>
  <c r="F60" i="3"/>
  <c r="E60" i="3"/>
  <c r="C60" i="3"/>
  <c r="D60" i="3" s="1"/>
  <c r="F59" i="3"/>
  <c r="E59" i="3"/>
  <c r="C59" i="3"/>
  <c r="D59" i="3" s="1"/>
  <c r="G59" i="3" s="1"/>
  <c r="I59" i="3" s="1"/>
  <c r="F58" i="3"/>
  <c r="E58" i="3"/>
  <c r="C58" i="3"/>
  <c r="D58" i="3" s="1"/>
  <c r="G58" i="3" s="1"/>
  <c r="I58" i="3" s="1"/>
  <c r="F57" i="3"/>
  <c r="E57" i="3"/>
  <c r="C57" i="3"/>
  <c r="D57" i="3" s="1"/>
  <c r="F53" i="3"/>
  <c r="E53" i="3"/>
  <c r="C53" i="3"/>
  <c r="D53" i="3" s="1"/>
  <c r="G53" i="3" s="1"/>
  <c r="I53" i="3" s="1"/>
  <c r="F52" i="3"/>
  <c r="E52" i="3"/>
  <c r="C52" i="3"/>
  <c r="D52" i="3" s="1"/>
  <c r="G52" i="3" s="1"/>
  <c r="I52" i="3" s="1"/>
  <c r="F51" i="3"/>
  <c r="E51" i="3"/>
  <c r="C51" i="3"/>
  <c r="D51" i="3" s="1"/>
  <c r="F50" i="3"/>
  <c r="E50" i="3"/>
  <c r="C50" i="3"/>
  <c r="D50" i="3" s="1"/>
  <c r="G50" i="3" s="1"/>
  <c r="I50" i="3" s="1"/>
  <c r="F49" i="3"/>
  <c r="E49" i="3"/>
  <c r="C49" i="3"/>
  <c r="D49" i="3" s="1"/>
  <c r="F48" i="3"/>
  <c r="E48" i="3"/>
  <c r="C48" i="3"/>
  <c r="D48" i="3" s="1"/>
  <c r="G48" i="3" s="1"/>
  <c r="I48" i="3" s="1"/>
  <c r="F44" i="3"/>
  <c r="E44" i="3"/>
  <c r="C44" i="3"/>
  <c r="D44" i="3" s="1"/>
  <c r="G44" i="3" s="1"/>
  <c r="I44" i="3" s="1"/>
  <c r="F43" i="3"/>
  <c r="E43" i="3"/>
  <c r="C43" i="3"/>
  <c r="D43" i="3" s="1"/>
  <c r="F42" i="3"/>
  <c r="E42" i="3"/>
  <c r="C42" i="3"/>
  <c r="D42" i="3" s="1"/>
  <c r="G42" i="3" s="1"/>
  <c r="I42" i="3" s="1"/>
  <c r="F41" i="3"/>
  <c r="E41" i="3"/>
  <c r="C41" i="3"/>
  <c r="D41" i="3" s="1"/>
  <c r="F40" i="3"/>
  <c r="E40" i="3"/>
  <c r="C40" i="3"/>
  <c r="D40" i="3" s="1"/>
  <c r="F39" i="3"/>
  <c r="E39" i="3"/>
  <c r="C39" i="3"/>
  <c r="D39" i="3" s="1"/>
  <c r="G39" i="3" s="1"/>
  <c r="I39" i="3" s="1"/>
  <c r="F35" i="3"/>
  <c r="E35" i="3"/>
  <c r="C35" i="3"/>
  <c r="D35" i="3" s="1"/>
  <c r="F34" i="3"/>
  <c r="E34" i="3"/>
  <c r="C34" i="3"/>
  <c r="D34" i="3" s="1"/>
  <c r="F33" i="3"/>
  <c r="E33" i="3"/>
  <c r="C33" i="3"/>
  <c r="D33" i="3" s="1"/>
  <c r="G33" i="3" s="1"/>
  <c r="I33" i="3" s="1"/>
  <c r="F32" i="3"/>
  <c r="E32" i="3"/>
  <c r="C32" i="3"/>
  <c r="D32" i="3" s="1"/>
  <c r="F31" i="3"/>
  <c r="E31" i="3"/>
  <c r="C31" i="3"/>
  <c r="D31" i="3" s="1"/>
  <c r="G31" i="3" s="1"/>
  <c r="I31" i="3" s="1"/>
  <c r="F30" i="3"/>
  <c r="E30" i="3"/>
  <c r="C30" i="3"/>
  <c r="D30" i="3" s="1"/>
  <c r="F26" i="3"/>
  <c r="E26" i="3"/>
  <c r="C26" i="3"/>
  <c r="D26" i="3" s="1"/>
  <c r="F25" i="3"/>
  <c r="E25" i="3"/>
  <c r="C25" i="3"/>
  <c r="D25" i="3" s="1"/>
  <c r="G25" i="3" s="1"/>
  <c r="I25" i="3" s="1"/>
  <c r="F24" i="3"/>
  <c r="E24" i="3"/>
  <c r="C24" i="3"/>
  <c r="D24" i="3" s="1"/>
  <c r="F23" i="3"/>
  <c r="E23" i="3"/>
  <c r="C23" i="3"/>
  <c r="D23" i="3" s="1"/>
  <c r="F22" i="3"/>
  <c r="E22" i="3"/>
  <c r="C22" i="3"/>
  <c r="D22" i="3" s="1"/>
  <c r="G22" i="3" s="1"/>
  <c r="I22" i="3" s="1"/>
  <c r="F21" i="3"/>
  <c r="E21" i="3"/>
  <c r="C21" i="3"/>
  <c r="D21" i="3" s="1"/>
  <c r="F17" i="3"/>
  <c r="E17" i="3"/>
  <c r="C17" i="3"/>
  <c r="D17" i="3" s="1"/>
  <c r="G17" i="3" s="1"/>
  <c r="I17" i="3" s="1"/>
  <c r="F16" i="3"/>
  <c r="E16" i="3"/>
  <c r="C16" i="3"/>
  <c r="D16" i="3" s="1"/>
  <c r="F15" i="3"/>
  <c r="E15" i="3"/>
  <c r="C15" i="3"/>
  <c r="D15" i="3" s="1"/>
  <c r="F14" i="3"/>
  <c r="E14" i="3"/>
  <c r="C14" i="3"/>
  <c r="D14" i="3" s="1"/>
  <c r="G14" i="3" s="1"/>
  <c r="I14" i="3" s="1"/>
  <c r="F13" i="3"/>
  <c r="E13" i="3"/>
  <c r="C13" i="3"/>
  <c r="D13" i="3" s="1"/>
  <c r="F12" i="3"/>
  <c r="E12" i="3"/>
  <c r="C12" i="3"/>
  <c r="D12" i="3" s="1"/>
  <c r="F5" i="3"/>
  <c r="F6" i="3"/>
  <c r="F7" i="3"/>
  <c r="F8" i="3"/>
  <c r="F4" i="3"/>
  <c r="F3" i="3"/>
  <c r="C4" i="3"/>
  <c r="D4" i="3" s="1"/>
  <c r="C5" i="3"/>
  <c r="D5" i="3" s="1"/>
  <c r="C6" i="3"/>
  <c r="D6" i="3" s="1"/>
  <c r="C7" i="3"/>
  <c r="D7" i="3" s="1"/>
  <c r="C8" i="3"/>
  <c r="D8" i="3" s="1"/>
  <c r="C3" i="3"/>
  <c r="D3" i="3" s="1"/>
  <c r="E8" i="3"/>
  <c r="E7" i="3"/>
  <c r="E6" i="3"/>
  <c r="E5" i="3"/>
  <c r="E4" i="3"/>
  <c r="E3" i="3"/>
  <c r="G8" i="3" l="1"/>
  <c r="I8" i="3" s="1"/>
  <c r="G62" i="3"/>
  <c r="I62" i="3" s="1"/>
  <c r="G57" i="3"/>
  <c r="I57" i="3" s="1"/>
  <c r="G49" i="3"/>
  <c r="I49" i="3" s="1"/>
  <c r="G51" i="3"/>
  <c r="I51" i="3" s="1"/>
  <c r="G41" i="3"/>
  <c r="I41" i="3" s="1"/>
  <c r="G35" i="3"/>
  <c r="I35" i="3" s="1"/>
  <c r="G30" i="3"/>
  <c r="I30" i="3" s="1"/>
  <c r="G24" i="3"/>
  <c r="I24" i="3" s="1"/>
  <c r="G13" i="3"/>
  <c r="I13" i="3" s="1"/>
  <c r="G16" i="3"/>
  <c r="I16" i="3" s="1"/>
  <c r="G12" i="3"/>
  <c r="I12" i="3" s="1"/>
  <c r="G23" i="3"/>
  <c r="I23" i="3" s="1"/>
  <c r="G34" i="3"/>
  <c r="I34" i="3" s="1"/>
  <c r="G15" i="3"/>
  <c r="I15" i="3" s="1"/>
  <c r="G26" i="3"/>
  <c r="I26" i="3" s="1"/>
  <c r="G40" i="3"/>
  <c r="I40" i="3" s="1"/>
  <c r="G21" i="3"/>
  <c r="I21" i="3" s="1"/>
  <c r="G32" i="3"/>
  <c r="I32" i="3" s="1"/>
  <c r="G43" i="3"/>
  <c r="I43" i="3" s="1"/>
  <c r="G60" i="3"/>
  <c r="I60" i="3" s="1"/>
  <c r="G5" i="3"/>
  <c r="I5" i="3" s="1"/>
  <c r="G7" i="3"/>
  <c r="I7" i="3" s="1"/>
  <c r="G3" i="3"/>
  <c r="I3" i="3" s="1"/>
  <c r="G4" i="3"/>
  <c r="I4" i="3" s="1"/>
  <c r="G6" i="3"/>
  <c r="I6" i="3" s="1"/>
  <c r="K62" i="3" l="1"/>
  <c r="K53" i="3"/>
  <c r="K35" i="3"/>
  <c r="K44" i="3"/>
  <c r="K17" i="3"/>
  <c r="K26" i="3"/>
  <c r="K8" i="3"/>
</calcChain>
</file>

<file path=xl/sharedStrings.xml><?xml version="1.0" encoding="utf-8"?>
<sst xmlns="http://schemas.openxmlformats.org/spreadsheetml/2006/main" count="88" uniqueCount="23">
  <si>
    <t>Cost &amp; Revenue</t>
  </si>
  <si>
    <t>Fixed Cost</t>
  </si>
  <si>
    <t>Variable Cost</t>
  </si>
  <si>
    <t>Revenue per Pizza</t>
  </si>
  <si>
    <t>Demand &amp; Probability</t>
  </si>
  <si>
    <t>Demand</t>
  </si>
  <si>
    <t>Probability</t>
  </si>
  <si>
    <t>EMV If 300 Pizzas Are Produced</t>
  </si>
  <si>
    <t>Pizzas Produced</t>
  </si>
  <si>
    <t>Pepperoni-and-Cheese Demand</t>
  </si>
  <si>
    <t>Pizzas Sold</t>
  </si>
  <si>
    <t>Gross Revenue</t>
  </si>
  <si>
    <t>Gross Profit</t>
  </si>
  <si>
    <t>Expected Profit Adjusted For Probability</t>
  </si>
  <si>
    <t>Total EMV</t>
  </si>
  <si>
    <t>EMV If 400 Pizzas Are Produced</t>
  </si>
  <si>
    <t>EMV If 500 Pizzas Are Produced</t>
  </si>
  <si>
    <t>EMV If 600 Pizzas Are Produced</t>
  </si>
  <si>
    <t>EMV If 700 Pizzas Are Produced</t>
  </si>
  <si>
    <t>EMV If 800 Pizzas Are Produced</t>
  </si>
  <si>
    <t>EMV With Perfect Demand Forecasting</t>
  </si>
  <si>
    <t>Expected Monetary Value Of Pepperoni Pizza By Production Levels</t>
  </si>
  <si>
    <t>EMV Across Production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</si>
</sst>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2" fillId="0" borderId="0" xfId="0" applyFont="1"/>
    <xf numFmtId="44" fontId="0" fillId="0" borderId="0" xfId="0" applyNumberFormat="1"/>
    <xf numFmtId="0" fontId="2" fillId="0" borderId="1" xfId="0" applyFont="1" applyBorder="1"/>
    <xf numFmtId="0" fontId="0" fillId="0" borderId="1" xfId="0" applyBorder="1"/>
    <xf numFmtId="44" fontId="0" fillId="0" borderId="1" xfId="0" applyNumberFormat="1" applyBorder="1"/>
    <xf numFmtId="0" fontId="4" fillId="0" borderId="1" xfId="0" applyFont="1" applyBorder="1"/>
    <xf numFmtId="44" fontId="4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4B94-C9E6-42BF-9532-F34049B9EF52}">
  <dimension ref="A1:B13"/>
  <sheetViews>
    <sheetView showGridLines="0" tabSelected="1" zoomScale="98" workbookViewId="0">
      <selection activeCell="E10" sqref="E10"/>
    </sheetView>
  </sheetViews>
  <sheetFormatPr defaultRowHeight="14.25"/>
  <cols>
    <col min="1" max="1" width="15" bestFit="1" customWidth="1"/>
    <col min="2" max="2" width="10.85546875" customWidth="1"/>
  </cols>
  <sheetData>
    <row r="1" spans="1:2" ht="15.75">
      <c r="A1" s="10" t="s">
        <v>0</v>
      </c>
      <c r="B1" s="10"/>
    </row>
    <row r="2" spans="1:2">
      <c r="A2" s="2" t="s">
        <v>1</v>
      </c>
      <c r="B2" s="1">
        <v>500</v>
      </c>
    </row>
    <row r="3" spans="1:2">
      <c r="A3" s="2" t="s">
        <v>2</v>
      </c>
      <c r="B3" s="1">
        <v>5</v>
      </c>
    </row>
    <row r="4" spans="1:2">
      <c r="A4" s="2" t="s">
        <v>3</v>
      </c>
      <c r="B4" s="1">
        <v>9</v>
      </c>
    </row>
    <row r="6" spans="1:2" ht="15.75">
      <c r="A6" s="10" t="s">
        <v>4</v>
      </c>
      <c r="B6" s="10"/>
    </row>
    <row r="7" spans="1:2">
      <c r="A7" s="4" t="s">
        <v>5</v>
      </c>
      <c r="B7" s="4" t="s">
        <v>6</v>
      </c>
    </row>
    <row r="8" spans="1:2">
      <c r="A8" s="9">
        <v>300</v>
      </c>
      <c r="B8" s="9">
        <v>0.1</v>
      </c>
    </row>
    <row r="9" spans="1:2">
      <c r="A9" s="9">
        <v>400</v>
      </c>
      <c r="B9" s="9">
        <v>0.2</v>
      </c>
    </row>
    <row r="10" spans="1:2">
      <c r="A10" s="9">
        <v>500</v>
      </c>
      <c r="B10" s="9">
        <v>0.25</v>
      </c>
    </row>
    <row r="11" spans="1:2">
      <c r="A11" s="9">
        <v>600</v>
      </c>
      <c r="B11" s="9">
        <v>0.25</v>
      </c>
    </row>
    <row r="12" spans="1:2">
      <c r="A12" s="9">
        <v>700</v>
      </c>
      <c r="B12" s="9">
        <v>0.15</v>
      </c>
    </row>
    <row r="13" spans="1:2">
      <c r="A13" s="9">
        <v>800</v>
      </c>
      <c r="B13" s="9">
        <v>0.05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0822-113C-4748-9622-CA9F99DFA115}">
  <dimension ref="A1:K62"/>
  <sheetViews>
    <sheetView showGridLines="0" zoomScale="83" zoomScaleNormal="10" workbookViewId="0">
      <selection activeCell="D27" sqref="D27"/>
    </sheetView>
  </sheetViews>
  <sheetFormatPr defaultRowHeight="14.25"/>
  <cols>
    <col min="1" max="1" width="13.85546875" bestFit="1" customWidth="1"/>
    <col min="2" max="2" width="26.42578125" bestFit="1" customWidth="1"/>
    <col min="3" max="7" width="15.5703125" customWidth="1"/>
    <col min="8" max="8" width="13.42578125" customWidth="1"/>
    <col min="9" max="9" width="32.7109375" bestFit="1" customWidth="1"/>
    <col min="10" max="10" width="8.5703125" bestFit="1" customWidth="1"/>
    <col min="11" max="11" width="10" bestFit="1" customWidth="1"/>
  </cols>
  <sheetData>
    <row r="1" spans="1:11" ht="15.75">
      <c r="A1" s="10" t="s">
        <v>7</v>
      </c>
      <c r="B1" s="10"/>
      <c r="C1" s="10"/>
      <c r="D1" s="10"/>
      <c r="E1" s="10"/>
      <c r="F1" s="10"/>
      <c r="G1" s="10"/>
      <c r="H1" s="10"/>
      <c r="I1" s="10"/>
    </row>
    <row r="2" spans="1:11">
      <c r="A2" s="4" t="s">
        <v>8</v>
      </c>
      <c r="B2" s="4" t="s">
        <v>9</v>
      </c>
      <c r="C2" s="4" t="s">
        <v>10</v>
      </c>
      <c r="D2" s="4" t="s">
        <v>11</v>
      </c>
      <c r="E2" s="4" t="s">
        <v>1</v>
      </c>
      <c r="F2" s="4" t="s">
        <v>2</v>
      </c>
      <c r="G2" s="4" t="s">
        <v>12</v>
      </c>
      <c r="H2" s="4" t="s">
        <v>6</v>
      </c>
      <c r="I2" s="4" t="s">
        <v>13</v>
      </c>
    </row>
    <row r="3" spans="1:11">
      <c r="A3" s="7">
        <v>300</v>
      </c>
      <c r="B3" s="7">
        <v>300</v>
      </c>
      <c r="C3" s="5">
        <f>IF(B3&lt;=A3,B3,A3)</f>
        <v>300</v>
      </c>
      <c r="D3" s="6">
        <f>C3*'Provided Inputs'!B$4</f>
        <v>2700</v>
      </c>
      <c r="E3" s="8">
        <f>'Provided Inputs'!B$2</f>
        <v>500</v>
      </c>
      <c r="F3" s="6">
        <f>A3*'Provided Inputs'!B$3</f>
        <v>1500</v>
      </c>
      <c r="G3" s="6">
        <f>D3-SUM(E3:F3)</f>
        <v>700</v>
      </c>
      <c r="H3" s="7">
        <v>0.1</v>
      </c>
      <c r="I3" s="6">
        <f>G3*H3</f>
        <v>70</v>
      </c>
    </row>
    <row r="4" spans="1:11">
      <c r="A4" s="7">
        <v>300</v>
      </c>
      <c r="B4" s="7">
        <v>400</v>
      </c>
      <c r="C4" s="5">
        <f>IF(B4&lt;=A4,B4,A4)</f>
        <v>300</v>
      </c>
      <c r="D4" s="6">
        <f>C4*'Provided Inputs'!B$4</f>
        <v>2700</v>
      </c>
      <c r="E4" s="8">
        <f>'Provided Inputs'!B$2</f>
        <v>500</v>
      </c>
      <c r="F4" s="6">
        <f>A4*'Provided Inputs'!B$3</f>
        <v>1500</v>
      </c>
      <c r="G4" s="6">
        <f t="shared" ref="G4:G8" si="0">D4-SUM(E4:F4)</f>
        <v>700</v>
      </c>
      <c r="H4" s="7">
        <v>0.2</v>
      </c>
      <c r="I4" s="6">
        <f t="shared" ref="I4:I8" si="1">G4*H4</f>
        <v>140</v>
      </c>
    </row>
    <row r="5" spans="1:11">
      <c r="A5" s="7">
        <v>300</v>
      </c>
      <c r="B5" s="7">
        <v>500</v>
      </c>
      <c r="C5" s="5">
        <f>IF(B5&lt;=A5,B5,A5)</f>
        <v>300</v>
      </c>
      <c r="D5" s="6">
        <f>C5*'Provided Inputs'!B$4</f>
        <v>2700</v>
      </c>
      <c r="E5" s="8">
        <f>'Provided Inputs'!B$2</f>
        <v>500</v>
      </c>
      <c r="F5" s="6">
        <f>A5*'Provided Inputs'!B$3</f>
        <v>1500</v>
      </c>
      <c r="G5" s="6">
        <f t="shared" si="0"/>
        <v>700</v>
      </c>
      <c r="H5" s="7">
        <v>0.25</v>
      </c>
      <c r="I5" s="6">
        <f t="shared" si="1"/>
        <v>175</v>
      </c>
    </row>
    <row r="6" spans="1:11">
      <c r="A6" s="7">
        <v>300</v>
      </c>
      <c r="B6" s="7">
        <v>600</v>
      </c>
      <c r="C6" s="5">
        <f>IF(B6&lt;=A6,B6,A6)</f>
        <v>300</v>
      </c>
      <c r="D6" s="6">
        <f>C6*'Provided Inputs'!B$4</f>
        <v>2700</v>
      </c>
      <c r="E6" s="8">
        <f>'Provided Inputs'!B$2</f>
        <v>500</v>
      </c>
      <c r="F6" s="6">
        <f>A6*'Provided Inputs'!B$3</f>
        <v>1500</v>
      </c>
      <c r="G6" s="6">
        <f t="shared" si="0"/>
        <v>700</v>
      </c>
      <c r="H6" s="7">
        <v>0.25</v>
      </c>
      <c r="I6" s="6">
        <f t="shared" si="1"/>
        <v>175</v>
      </c>
    </row>
    <row r="7" spans="1:11">
      <c r="A7" s="7">
        <v>300</v>
      </c>
      <c r="B7" s="7">
        <v>700</v>
      </c>
      <c r="C7" s="5">
        <f>IF(B7&lt;=A7,B7,A7)</f>
        <v>300</v>
      </c>
      <c r="D7" s="6">
        <f>C7*'Provided Inputs'!B$4</f>
        <v>2700</v>
      </c>
      <c r="E7" s="8">
        <f>'Provided Inputs'!B$2</f>
        <v>500</v>
      </c>
      <c r="F7" s="6">
        <f>A7*'Provided Inputs'!B$3</f>
        <v>1500</v>
      </c>
      <c r="G7" s="6">
        <f t="shared" si="0"/>
        <v>700</v>
      </c>
      <c r="H7" s="7">
        <v>0.15</v>
      </c>
      <c r="I7" s="6">
        <f t="shared" si="1"/>
        <v>105</v>
      </c>
    </row>
    <row r="8" spans="1:11">
      <c r="A8" s="7">
        <v>300</v>
      </c>
      <c r="B8" s="7">
        <v>800</v>
      </c>
      <c r="C8" s="5">
        <f>IF(B8&lt;=A8,B8,A8)</f>
        <v>300</v>
      </c>
      <c r="D8" s="6">
        <f>C8*'Provided Inputs'!B$4</f>
        <v>2700</v>
      </c>
      <c r="E8" s="8">
        <f>'Provided Inputs'!B$2</f>
        <v>500</v>
      </c>
      <c r="F8" s="6">
        <f>A8*'Provided Inputs'!B$3</f>
        <v>1500</v>
      </c>
      <c r="G8" s="6">
        <f t="shared" si="0"/>
        <v>700</v>
      </c>
      <c r="H8" s="7">
        <v>0.05</v>
      </c>
      <c r="I8" s="6">
        <f t="shared" si="1"/>
        <v>35</v>
      </c>
      <c r="J8" s="2" t="s">
        <v>14</v>
      </c>
      <c r="K8" s="3">
        <f>SUM(I3:I8)</f>
        <v>700</v>
      </c>
    </row>
    <row r="9" spans="1:11">
      <c r="A9" s="5"/>
      <c r="B9" s="5"/>
      <c r="C9" s="5"/>
      <c r="D9" s="6"/>
      <c r="E9" s="8"/>
      <c r="F9" s="6"/>
      <c r="G9" s="6"/>
      <c r="H9" s="5"/>
      <c r="I9" s="6"/>
    </row>
    <row r="10" spans="1:11" ht="15.75">
      <c r="A10" s="10" t="s">
        <v>15</v>
      </c>
      <c r="B10" s="10"/>
      <c r="C10" s="10"/>
      <c r="D10" s="10"/>
      <c r="E10" s="10"/>
      <c r="F10" s="10"/>
      <c r="G10" s="10"/>
      <c r="H10" s="10"/>
      <c r="I10" s="10"/>
    </row>
    <row r="11" spans="1:11">
      <c r="A11" s="4" t="s">
        <v>8</v>
      </c>
      <c r="B11" s="4" t="s">
        <v>9</v>
      </c>
      <c r="C11" s="4" t="s">
        <v>10</v>
      </c>
      <c r="D11" s="4" t="s">
        <v>11</v>
      </c>
      <c r="E11" s="4" t="s">
        <v>1</v>
      </c>
      <c r="F11" s="4" t="s">
        <v>2</v>
      </c>
      <c r="G11" s="4" t="s">
        <v>12</v>
      </c>
      <c r="H11" s="4" t="s">
        <v>6</v>
      </c>
      <c r="I11" s="4" t="s">
        <v>13</v>
      </c>
    </row>
    <row r="12" spans="1:11">
      <c r="A12" s="7">
        <v>400</v>
      </c>
      <c r="B12" s="7">
        <v>300</v>
      </c>
      <c r="C12" s="5">
        <f>IF(B12&lt;=A12,B12,A12)</f>
        <v>300</v>
      </c>
      <c r="D12" s="6">
        <f>C12*'Provided Inputs'!B$4</f>
        <v>2700</v>
      </c>
      <c r="E12" s="8">
        <f>'Provided Inputs'!B$2</f>
        <v>500</v>
      </c>
      <c r="F12" s="6">
        <f>A12*'Provided Inputs'!B$3</f>
        <v>2000</v>
      </c>
      <c r="G12" s="6">
        <f>D12-SUM(E12:F12)</f>
        <v>200</v>
      </c>
      <c r="H12" s="7">
        <v>0.1</v>
      </c>
      <c r="I12" s="6">
        <f>G12*H12</f>
        <v>20</v>
      </c>
    </row>
    <row r="13" spans="1:11">
      <c r="A13" s="7">
        <v>400</v>
      </c>
      <c r="B13" s="7">
        <v>400</v>
      </c>
      <c r="C13" s="5">
        <f>IF(B13&lt;=A13,B13,A13)</f>
        <v>400</v>
      </c>
      <c r="D13" s="6">
        <f>C13*'Provided Inputs'!B$4</f>
        <v>3600</v>
      </c>
      <c r="E13" s="8">
        <f>'Provided Inputs'!B$2</f>
        <v>500</v>
      </c>
      <c r="F13" s="6">
        <f>A13*'Provided Inputs'!B$3</f>
        <v>2000</v>
      </c>
      <c r="G13" s="6">
        <f t="shared" ref="G13:G17" si="2">D13-SUM(E13:F13)</f>
        <v>1100</v>
      </c>
      <c r="H13" s="7">
        <v>0.2</v>
      </c>
      <c r="I13" s="6">
        <f t="shared" ref="I13:I17" si="3">G13*H13</f>
        <v>220</v>
      </c>
    </row>
    <row r="14" spans="1:11">
      <c r="A14" s="7">
        <v>400</v>
      </c>
      <c r="B14" s="7">
        <v>500</v>
      </c>
      <c r="C14" s="5">
        <f>IF(B14&lt;=A14,B14,A14)</f>
        <v>400</v>
      </c>
      <c r="D14" s="6">
        <f>C14*'Provided Inputs'!B$4</f>
        <v>3600</v>
      </c>
      <c r="E14" s="8">
        <f>'Provided Inputs'!B$2</f>
        <v>500</v>
      </c>
      <c r="F14" s="6">
        <f>A14*'Provided Inputs'!B$3</f>
        <v>2000</v>
      </c>
      <c r="G14" s="6">
        <f t="shared" si="2"/>
        <v>1100</v>
      </c>
      <c r="H14" s="7">
        <v>0.25</v>
      </c>
      <c r="I14" s="6">
        <f t="shared" si="3"/>
        <v>275</v>
      </c>
    </row>
    <row r="15" spans="1:11">
      <c r="A15" s="7">
        <v>400</v>
      </c>
      <c r="B15" s="7">
        <v>600</v>
      </c>
      <c r="C15" s="5">
        <f>IF(B15&lt;=A15,B15,A15)</f>
        <v>400</v>
      </c>
      <c r="D15" s="6">
        <f>C15*'Provided Inputs'!B$4</f>
        <v>3600</v>
      </c>
      <c r="E15" s="8">
        <f>'Provided Inputs'!B$2</f>
        <v>500</v>
      </c>
      <c r="F15" s="6">
        <f>A15*'Provided Inputs'!B$3</f>
        <v>2000</v>
      </c>
      <c r="G15" s="6">
        <f t="shared" si="2"/>
        <v>1100</v>
      </c>
      <c r="H15" s="7">
        <v>0.25</v>
      </c>
      <c r="I15" s="6">
        <f t="shared" si="3"/>
        <v>275</v>
      </c>
    </row>
    <row r="16" spans="1:11">
      <c r="A16" s="7">
        <v>400</v>
      </c>
      <c r="B16" s="7">
        <v>700</v>
      </c>
      <c r="C16" s="5">
        <f>IF(B16&lt;=A16,B16,A16)</f>
        <v>400</v>
      </c>
      <c r="D16" s="6">
        <f>C16*'Provided Inputs'!B$4</f>
        <v>3600</v>
      </c>
      <c r="E16" s="8">
        <f>'Provided Inputs'!B$2</f>
        <v>500</v>
      </c>
      <c r="F16" s="6">
        <f>A16*'Provided Inputs'!B$3</f>
        <v>2000</v>
      </c>
      <c r="G16" s="6">
        <f t="shared" si="2"/>
        <v>1100</v>
      </c>
      <c r="H16" s="7">
        <v>0.15</v>
      </c>
      <c r="I16" s="6">
        <f t="shared" si="3"/>
        <v>165</v>
      </c>
    </row>
    <row r="17" spans="1:11">
      <c r="A17" s="7">
        <v>400</v>
      </c>
      <c r="B17" s="7">
        <v>800</v>
      </c>
      <c r="C17" s="5">
        <f>IF(B17&lt;=A17,B17,A17)</f>
        <v>400</v>
      </c>
      <c r="D17" s="6">
        <f>C17*'Provided Inputs'!B$4</f>
        <v>3600</v>
      </c>
      <c r="E17" s="8">
        <f>'Provided Inputs'!B$2</f>
        <v>500</v>
      </c>
      <c r="F17" s="6">
        <f>A17*'Provided Inputs'!B$3</f>
        <v>2000</v>
      </c>
      <c r="G17" s="6">
        <f t="shared" si="2"/>
        <v>1100</v>
      </c>
      <c r="H17" s="7">
        <v>0.05</v>
      </c>
      <c r="I17" s="6">
        <f t="shared" si="3"/>
        <v>55</v>
      </c>
      <c r="J17" s="2" t="s">
        <v>14</v>
      </c>
      <c r="K17" s="3">
        <f>SUM(I12:I17)</f>
        <v>1010</v>
      </c>
    </row>
    <row r="18" spans="1:11">
      <c r="A18" s="5"/>
      <c r="B18" s="5"/>
      <c r="C18" s="5"/>
      <c r="D18" s="6"/>
      <c r="E18" s="6"/>
      <c r="F18" s="6"/>
      <c r="G18" s="6"/>
      <c r="H18" s="5"/>
      <c r="I18" s="6"/>
    </row>
    <row r="19" spans="1:11" ht="15.75">
      <c r="A19" s="10" t="s">
        <v>16</v>
      </c>
      <c r="B19" s="10"/>
      <c r="C19" s="10"/>
      <c r="D19" s="10"/>
      <c r="E19" s="10"/>
      <c r="F19" s="10"/>
      <c r="G19" s="10"/>
      <c r="H19" s="10"/>
      <c r="I19" s="10"/>
    </row>
    <row r="20" spans="1:11">
      <c r="A20" s="4" t="s">
        <v>8</v>
      </c>
      <c r="B20" s="4" t="s">
        <v>9</v>
      </c>
      <c r="C20" s="4" t="s">
        <v>10</v>
      </c>
      <c r="D20" s="4" t="s">
        <v>11</v>
      </c>
      <c r="E20" s="4" t="s">
        <v>1</v>
      </c>
      <c r="F20" s="4" t="s">
        <v>2</v>
      </c>
      <c r="G20" s="4" t="s">
        <v>12</v>
      </c>
      <c r="H20" s="4" t="s">
        <v>6</v>
      </c>
      <c r="I20" s="4" t="s">
        <v>13</v>
      </c>
    </row>
    <row r="21" spans="1:11">
      <c r="A21" s="7">
        <v>500</v>
      </c>
      <c r="B21" s="7">
        <v>300</v>
      </c>
      <c r="C21" s="5">
        <f>IF(B21&lt;=A21,B21,A21)</f>
        <v>300</v>
      </c>
      <c r="D21" s="6">
        <f>C21*'Provided Inputs'!B$4</f>
        <v>2700</v>
      </c>
      <c r="E21" s="8">
        <f>'Provided Inputs'!B$2</f>
        <v>500</v>
      </c>
      <c r="F21" s="6">
        <f>A21*'Provided Inputs'!B$3</f>
        <v>2500</v>
      </c>
      <c r="G21" s="6">
        <f>D21-SUM(E21:F21)</f>
        <v>-300</v>
      </c>
      <c r="H21" s="7">
        <v>0.1</v>
      </c>
      <c r="I21" s="6">
        <f>G21*H21</f>
        <v>-30</v>
      </c>
    </row>
    <row r="22" spans="1:11">
      <c r="A22" s="7">
        <v>500</v>
      </c>
      <c r="B22" s="7">
        <v>400</v>
      </c>
      <c r="C22" s="5">
        <f>IF(B22&lt;=A22,B22,A22)</f>
        <v>400</v>
      </c>
      <c r="D22" s="6">
        <f>C22*'Provided Inputs'!B$4</f>
        <v>3600</v>
      </c>
      <c r="E22" s="8">
        <f>'Provided Inputs'!B$2</f>
        <v>500</v>
      </c>
      <c r="F22" s="6">
        <f>A22*'Provided Inputs'!B$3</f>
        <v>2500</v>
      </c>
      <c r="G22" s="6">
        <f t="shared" ref="G22:G26" si="4">D22-SUM(E22:F22)</f>
        <v>600</v>
      </c>
      <c r="H22" s="7">
        <v>0.2</v>
      </c>
      <c r="I22" s="6">
        <f t="shared" ref="I22:I26" si="5">G22*H22</f>
        <v>120</v>
      </c>
    </row>
    <row r="23" spans="1:11">
      <c r="A23" s="7">
        <v>500</v>
      </c>
      <c r="B23" s="7">
        <v>500</v>
      </c>
      <c r="C23" s="5">
        <f>IF(B23&lt;=A23,B23,A23)</f>
        <v>500</v>
      </c>
      <c r="D23" s="6">
        <f>C23*'Provided Inputs'!B$4</f>
        <v>4500</v>
      </c>
      <c r="E23" s="8">
        <f>'Provided Inputs'!B$2</f>
        <v>500</v>
      </c>
      <c r="F23" s="6">
        <f>A23*'Provided Inputs'!B$3</f>
        <v>2500</v>
      </c>
      <c r="G23" s="6">
        <f t="shared" si="4"/>
        <v>1500</v>
      </c>
      <c r="H23" s="7">
        <v>0.25</v>
      </c>
      <c r="I23" s="6">
        <f t="shared" si="5"/>
        <v>375</v>
      </c>
    </row>
    <row r="24" spans="1:11">
      <c r="A24" s="7">
        <v>500</v>
      </c>
      <c r="B24" s="7">
        <v>600</v>
      </c>
      <c r="C24" s="5">
        <f>IF(B24&lt;=A24,B24,A24)</f>
        <v>500</v>
      </c>
      <c r="D24" s="6">
        <f>C24*'Provided Inputs'!B$4</f>
        <v>4500</v>
      </c>
      <c r="E24" s="8">
        <f>'Provided Inputs'!B$2</f>
        <v>500</v>
      </c>
      <c r="F24" s="6">
        <f>A24*'Provided Inputs'!B$3</f>
        <v>2500</v>
      </c>
      <c r="G24" s="6">
        <f t="shared" si="4"/>
        <v>1500</v>
      </c>
      <c r="H24" s="7">
        <v>0.25</v>
      </c>
      <c r="I24" s="6">
        <f t="shared" si="5"/>
        <v>375</v>
      </c>
    </row>
    <row r="25" spans="1:11">
      <c r="A25" s="7">
        <v>500</v>
      </c>
      <c r="B25" s="7">
        <v>700</v>
      </c>
      <c r="C25" s="5">
        <f>IF(B25&lt;=A25,B25,A25)</f>
        <v>500</v>
      </c>
      <c r="D25" s="6">
        <f>C25*'Provided Inputs'!B$4</f>
        <v>4500</v>
      </c>
      <c r="E25" s="8">
        <f>'Provided Inputs'!B$2</f>
        <v>500</v>
      </c>
      <c r="F25" s="6">
        <f>A25*'Provided Inputs'!B$3</f>
        <v>2500</v>
      </c>
      <c r="G25" s="6">
        <f t="shared" si="4"/>
        <v>1500</v>
      </c>
      <c r="H25" s="7">
        <v>0.15</v>
      </c>
      <c r="I25" s="6">
        <f t="shared" si="5"/>
        <v>225</v>
      </c>
    </row>
    <row r="26" spans="1:11">
      <c r="A26" s="7">
        <v>500</v>
      </c>
      <c r="B26" s="7">
        <v>800</v>
      </c>
      <c r="C26" s="5">
        <f>IF(B26&lt;=A26,B26,A26)</f>
        <v>500</v>
      </c>
      <c r="D26" s="6">
        <f>C26*'Provided Inputs'!B$4</f>
        <v>4500</v>
      </c>
      <c r="E26" s="8">
        <f>'Provided Inputs'!B$2</f>
        <v>500</v>
      </c>
      <c r="F26" s="6">
        <f>A26*'Provided Inputs'!B$3</f>
        <v>2500</v>
      </c>
      <c r="G26" s="6">
        <f t="shared" si="4"/>
        <v>1500</v>
      </c>
      <c r="H26" s="7">
        <v>0.05</v>
      </c>
      <c r="I26" s="6">
        <f t="shared" si="5"/>
        <v>75</v>
      </c>
      <c r="J26" s="2" t="s">
        <v>14</v>
      </c>
      <c r="K26" s="3">
        <f>SUM(I21:I26)</f>
        <v>1140</v>
      </c>
    </row>
    <row r="27" spans="1:11">
      <c r="A27" s="5"/>
      <c r="B27" s="5"/>
      <c r="C27" s="5"/>
      <c r="D27" s="5"/>
      <c r="E27" s="5"/>
      <c r="F27" s="5"/>
      <c r="G27" s="5"/>
      <c r="H27" s="5"/>
      <c r="I27" s="5"/>
    </row>
    <row r="28" spans="1:11" ht="15.75">
      <c r="A28" s="10" t="s">
        <v>17</v>
      </c>
      <c r="B28" s="10"/>
      <c r="C28" s="10"/>
      <c r="D28" s="10"/>
      <c r="E28" s="10"/>
      <c r="F28" s="10"/>
      <c r="G28" s="10"/>
      <c r="H28" s="10"/>
      <c r="I28" s="10"/>
    </row>
    <row r="29" spans="1:11">
      <c r="A29" s="4" t="s">
        <v>8</v>
      </c>
      <c r="B29" s="4" t="s">
        <v>9</v>
      </c>
      <c r="C29" s="4" t="s">
        <v>10</v>
      </c>
      <c r="D29" s="4" t="s">
        <v>11</v>
      </c>
      <c r="E29" s="4" t="s">
        <v>1</v>
      </c>
      <c r="F29" s="4" t="s">
        <v>2</v>
      </c>
      <c r="G29" s="4" t="s">
        <v>12</v>
      </c>
      <c r="H29" s="4" t="s">
        <v>6</v>
      </c>
      <c r="I29" s="4" t="s">
        <v>13</v>
      </c>
    </row>
    <row r="30" spans="1:11">
      <c r="A30" s="7">
        <v>600</v>
      </c>
      <c r="B30" s="7">
        <v>300</v>
      </c>
      <c r="C30" s="5">
        <f>IF(B30&lt;=A30,B30,A30)</f>
        <v>300</v>
      </c>
      <c r="D30" s="6">
        <f>C30*'Provided Inputs'!B$4</f>
        <v>2700</v>
      </c>
      <c r="E30" s="8">
        <f>'Provided Inputs'!B$2</f>
        <v>500</v>
      </c>
      <c r="F30" s="6">
        <f>A30*'Provided Inputs'!B$3</f>
        <v>3000</v>
      </c>
      <c r="G30" s="6">
        <f>D30-SUM(E30:F30)</f>
        <v>-800</v>
      </c>
      <c r="H30" s="7">
        <v>0.1</v>
      </c>
      <c r="I30" s="6">
        <f>G30*H30</f>
        <v>-80</v>
      </c>
    </row>
    <row r="31" spans="1:11">
      <c r="A31" s="7">
        <v>600</v>
      </c>
      <c r="B31" s="7">
        <v>400</v>
      </c>
      <c r="C31" s="5">
        <f>IF(B31&lt;=A31,B31,A31)</f>
        <v>400</v>
      </c>
      <c r="D31" s="6">
        <f>C31*'Provided Inputs'!B$4</f>
        <v>3600</v>
      </c>
      <c r="E31" s="8">
        <f>'Provided Inputs'!B$2</f>
        <v>500</v>
      </c>
      <c r="F31" s="6">
        <f>A31*'Provided Inputs'!B$3</f>
        <v>3000</v>
      </c>
      <c r="G31" s="6">
        <f t="shared" ref="G31:G35" si="6">D31-SUM(E31:F31)</f>
        <v>100</v>
      </c>
      <c r="H31" s="7">
        <v>0.2</v>
      </c>
      <c r="I31" s="6">
        <f t="shared" ref="I31:I35" si="7">G31*H31</f>
        <v>20</v>
      </c>
    </row>
    <row r="32" spans="1:11">
      <c r="A32" s="7">
        <v>600</v>
      </c>
      <c r="B32" s="7">
        <v>500</v>
      </c>
      <c r="C32" s="5">
        <f>IF(B32&lt;=A32,B32,A32)</f>
        <v>500</v>
      </c>
      <c r="D32" s="6">
        <f>C32*'Provided Inputs'!B$4</f>
        <v>4500</v>
      </c>
      <c r="E32" s="8">
        <f>'Provided Inputs'!B$2</f>
        <v>500</v>
      </c>
      <c r="F32" s="6">
        <f>A32*'Provided Inputs'!B$3</f>
        <v>3000</v>
      </c>
      <c r="G32" s="6">
        <f t="shared" si="6"/>
        <v>1000</v>
      </c>
      <c r="H32" s="7">
        <v>0.25</v>
      </c>
      <c r="I32" s="6">
        <f t="shared" si="7"/>
        <v>250</v>
      </c>
    </row>
    <row r="33" spans="1:11">
      <c r="A33" s="7">
        <v>600</v>
      </c>
      <c r="B33" s="7">
        <v>600</v>
      </c>
      <c r="C33" s="5">
        <f>IF(B33&lt;=A33,B33,A33)</f>
        <v>600</v>
      </c>
      <c r="D33" s="6">
        <f>C33*'Provided Inputs'!B$4</f>
        <v>5400</v>
      </c>
      <c r="E33" s="8">
        <f>'Provided Inputs'!B$2</f>
        <v>500</v>
      </c>
      <c r="F33" s="6">
        <f>A33*'Provided Inputs'!B$3</f>
        <v>3000</v>
      </c>
      <c r="G33" s="6">
        <f t="shared" si="6"/>
        <v>1900</v>
      </c>
      <c r="H33" s="7">
        <v>0.25</v>
      </c>
      <c r="I33" s="6">
        <f t="shared" si="7"/>
        <v>475</v>
      </c>
    </row>
    <row r="34" spans="1:11">
      <c r="A34" s="7">
        <v>600</v>
      </c>
      <c r="B34" s="7">
        <v>700</v>
      </c>
      <c r="C34" s="5">
        <f>IF(B34&lt;=A34,B34,A34)</f>
        <v>600</v>
      </c>
      <c r="D34" s="6">
        <f>C34*'Provided Inputs'!B$4</f>
        <v>5400</v>
      </c>
      <c r="E34" s="8">
        <f>'Provided Inputs'!B$2</f>
        <v>500</v>
      </c>
      <c r="F34" s="6">
        <f>A34*'Provided Inputs'!B$3</f>
        <v>3000</v>
      </c>
      <c r="G34" s="6">
        <f t="shared" si="6"/>
        <v>1900</v>
      </c>
      <c r="H34" s="7">
        <v>0.15</v>
      </c>
      <c r="I34" s="6">
        <f t="shared" si="7"/>
        <v>285</v>
      </c>
    </row>
    <row r="35" spans="1:11">
      <c r="A35" s="7">
        <v>600</v>
      </c>
      <c r="B35" s="7">
        <v>800</v>
      </c>
      <c r="C35" s="5">
        <f>IF(B35&lt;=A35,B35,A35)</f>
        <v>600</v>
      </c>
      <c r="D35" s="6">
        <f>C35*'Provided Inputs'!B$4</f>
        <v>5400</v>
      </c>
      <c r="E35" s="8">
        <f>'Provided Inputs'!B$2</f>
        <v>500</v>
      </c>
      <c r="F35" s="6">
        <f>A35*'Provided Inputs'!B$3</f>
        <v>3000</v>
      </c>
      <c r="G35" s="6">
        <f t="shared" si="6"/>
        <v>1900</v>
      </c>
      <c r="H35" s="7">
        <v>0.05</v>
      </c>
      <c r="I35" s="6">
        <f t="shared" si="7"/>
        <v>95</v>
      </c>
      <c r="J35" s="2" t="s">
        <v>14</v>
      </c>
      <c r="K35" s="3">
        <f>SUM(I30:I35)</f>
        <v>1045</v>
      </c>
    </row>
    <row r="36" spans="1:11">
      <c r="A36" s="5"/>
      <c r="B36" s="5"/>
      <c r="C36" s="5"/>
      <c r="D36" s="5"/>
      <c r="E36" s="5"/>
      <c r="F36" s="5"/>
      <c r="G36" s="5"/>
      <c r="H36" s="5"/>
      <c r="I36" s="5"/>
    </row>
    <row r="37" spans="1:11" ht="15.75">
      <c r="A37" s="10" t="s">
        <v>18</v>
      </c>
      <c r="B37" s="10"/>
      <c r="C37" s="10"/>
      <c r="D37" s="10"/>
      <c r="E37" s="10"/>
      <c r="F37" s="10"/>
      <c r="G37" s="10"/>
      <c r="H37" s="10"/>
      <c r="I37" s="10"/>
    </row>
    <row r="38" spans="1:11">
      <c r="A38" s="4" t="s">
        <v>8</v>
      </c>
      <c r="B38" s="4" t="s">
        <v>9</v>
      </c>
      <c r="C38" s="4" t="s">
        <v>10</v>
      </c>
      <c r="D38" s="4" t="s">
        <v>11</v>
      </c>
      <c r="E38" s="4" t="s">
        <v>1</v>
      </c>
      <c r="F38" s="4" t="s">
        <v>2</v>
      </c>
      <c r="G38" s="4" t="s">
        <v>12</v>
      </c>
      <c r="H38" s="4" t="s">
        <v>6</v>
      </c>
      <c r="I38" s="4" t="s">
        <v>13</v>
      </c>
    </row>
    <row r="39" spans="1:11">
      <c r="A39" s="7">
        <v>700</v>
      </c>
      <c r="B39" s="7">
        <v>300</v>
      </c>
      <c r="C39" s="5">
        <f>IF(B39&lt;=A39,B39,A39)</f>
        <v>300</v>
      </c>
      <c r="D39" s="6">
        <f>C39*'Provided Inputs'!B$4</f>
        <v>2700</v>
      </c>
      <c r="E39" s="8">
        <f>'Provided Inputs'!B$2</f>
        <v>500</v>
      </c>
      <c r="F39" s="6">
        <f>A39*'Provided Inputs'!B$3</f>
        <v>3500</v>
      </c>
      <c r="G39" s="6">
        <f>D39-SUM(E39:F39)</f>
        <v>-1300</v>
      </c>
      <c r="H39" s="7">
        <v>0.1</v>
      </c>
      <c r="I39" s="6">
        <f>G39*H39</f>
        <v>-130</v>
      </c>
    </row>
    <row r="40" spans="1:11">
      <c r="A40" s="7">
        <v>700</v>
      </c>
      <c r="B40" s="7">
        <v>400</v>
      </c>
      <c r="C40" s="5">
        <f>IF(B40&lt;=A40,B40,A40)</f>
        <v>400</v>
      </c>
      <c r="D40" s="6">
        <f>C40*'Provided Inputs'!B$4</f>
        <v>3600</v>
      </c>
      <c r="E40" s="8">
        <f>'Provided Inputs'!B$2</f>
        <v>500</v>
      </c>
      <c r="F40" s="6">
        <f>A40*'Provided Inputs'!B$3</f>
        <v>3500</v>
      </c>
      <c r="G40" s="6">
        <f t="shared" ref="G40:G44" si="8">D40-SUM(E40:F40)</f>
        <v>-400</v>
      </c>
      <c r="H40" s="7">
        <v>0.2</v>
      </c>
      <c r="I40" s="6">
        <f t="shared" ref="I40:I44" si="9">G40*H40</f>
        <v>-80</v>
      </c>
    </row>
    <row r="41" spans="1:11">
      <c r="A41" s="7">
        <v>700</v>
      </c>
      <c r="B41" s="7">
        <v>500</v>
      </c>
      <c r="C41" s="5">
        <f>IF(B41&lt;=A41,B41,A41)</f>
        <v>500</v>
      </c>
      <c r="D41" s="6">
        <f>C41*'Provided Inputs'!B$4</f>
        <v>4500</v>
      </c>
      <c r="E41" s="8">
        <f>'Provided Inputs'!B$2</f>
        <v>500</v>
      </c>
      <c r="F41" s="6">
        <f>A41*'Provided Inputs'!B$3</f>
        <v>3500</v>
      </c>
      <c r="G41" s="6">
        <f t="shared" si="8"/>
        <v>500</v>
      </c>
      <c r="H41" s="7">
        <v>0.25</v>
      </c>
      <c r="I41" s="6">
        <f t="shared" si="9"/>
        <v>125</v>
      </c>
    </row>
    <row r="42" spans="1:11">
      <c r="A42" s="7">
        <v>700</v>
      </c>
      <c r="B42" s="7">
        <v>600</v>
      </c>
      <c r="C42" s="5">
        <f>IF(B42&lt;=A42,B42,A42)</f>
        <v>600</v>
      </c>
      <c r="D42" s="6">
        <f>C42*'Provided Inputs'!B$4</f>
        <v>5400</v>
      </c>
      <c r="E42" s="8">
        <f>'Provided Inputs'!B$2</f>
        <v>500</v>
      </c>
      <c r="F42" s="6">
        <f>A42*'Provided Inputs'!B$3</f>
        <v>3500</v>
      </c>
      <c r="G42" s="6">
        <f t="shared" si="8"/>
        <v>1400</v>
      </c>
      <c r="H42" s="7">
        <v>0.25</v>
      </c>
      <c r="I42" s="6">
        <f t="shared" si="9"/>
        <v>350</v>
      </c>
    </row>
    <row r="43" spans="1:11">
      <c r="A43" s="7">
        <v>700</v>
      </c>
      <c r="B43" s="7">
        <v>700</v>
      </c>
      <c r="C43" s="5">
        <f>IF(B43&lt;=A43,B43,A43)</f>
        <v>700</v>
      </c>
      <c r="D43" s="6">
        <f>C43*'Provided Inputs'!B$4</f>
        <v>6300</v>
      </c>
      <c r="E43" s="8">
        <f>'Provided Inputs'!B$2</f>
        <v>500</v>
      </c>
      <c r="F43" s="6">
        <f>A43*'Provided Inputs'!B$3</f>
        <v>3500</v>
      </c>
      <c r="G43" s="6">
        <f t="shared" si="8"/>
        <v>2300</v>
      </c>
      <c r="H43" s="7">
        <v>0.15</v>
      </c>
      <c r="I43" s="6">
        <f t="shared" si="9"/>
        <v>345</v>
      </c>
    </row>
    <row r="44" spans="1:11">
      <c r="A44" s="7">
        <v>700</v>
      </c>
      <c r="B44" s="7">
        <v>800</v>
      </c>
      <c r="C44" s="5">
        <f>IF(B44&lt;=A44,B44,A44)</f>
        <v>700</v>
      </c>
      <c r="D44" s="6">
        <f>C44*'Provided Inputs'!B$4</f>
        <v>6300</v>
      </c>
      <c r="E44" s="8">
        <f>'Provided Inputs'!B$2</f>
        <v>500</v>
      </c>
      <c r="F44" s="6">
        <f>A44*'Provided Inputs'!B$3</f>
        <v>3500</v>
      </c>
      <c r="G44" s="6">
        <f t="shared" si="8"/>
        <v>2300</v>
      </c>
      <c r="H44" s="7">
        <v>0.05</v>
      </c>
      <c r="I44" s="6">
        <f t="shared" si="9"/>
        <v>115</v>
      </c>
      <c r="J44" s="2" t="s">
        <v>14</v>
      </c>
      <c r="K44" s="3">
        <f>SUM(I39:I44)</f>
        <v>725</v>
      </c>
    </row>
    <row r="45" spans="1:11">
      <c r="A45" s="5"/>
      <c r="B45" s="5"/>
      <c r="C45" s="5"/>
      <c r="D45" s="5"/>
      <c r="E45" s="5"/>
      <c r="F45" s="5"/>
      <c r="G45" s="5"/>
      <c r="H45" s="5"/>
      <c r="I45" s="5"/>
    </row>
    <row r="46" spans="1:11" ht="15.75">
      <c r="A46" s="10" t="s">
        <v>19</v>
      </c>
      <c r="B46" s="10"/>
      <c r="C46" s="10"/>
      <c r="D46" s="10"/>
      <c r="E46" s="10"/>
      <c r="F46" s="10"/>
      <c r="G46" s="10"/>
      <c r="H46" s="10"/>
      <c r="I46" s="10"/>
    </row>
    <row r="47" spans="1:11">
      <c r="A47" s="4" t="s">
        <v>8</v>
      </c>
      <c r="B47" s="4" t="s">
        <v>9</v>
      </c>
      <c r="C47" s="4" t="s">
        <v>10</v>
      </c>
      <c r="D47" s="4" t="s">
        <v>11</v>
      </c>
      <c r="E47" s="4" t="s">
        <v>1</v>
      </c>
      <c r="F47" s="4" t="s">
        <v>2</v>
      </c>
      <c r="G47" s="4" t="s">
        <v>12</v>
      </c>
      <c r="H47" s="4" t="s">
        <v>6</v>
      </c>
      <c r="I47" s="4" t="s">
        <v>13</v>
      </c>
    </row>
    <row r="48" spans="1:11">
      <c r="A48" s="7">
        <v>800</v>
      </c>
      <c r="B48" s="7">
        <v>300</v>
      </c>
      <c r="C48" s="5">
        <f>IF(B48&lt;=A48,B48,A48)</f>
        <v>300</v>
      </c>
      <c r="D48" s="6">
        <f>C48*'Provided Inputs'!B$4</f>
        <v>2700</v>
      </c>
      <c r="E48" s="8">
        <f>'Provided Inputs'!B$2</f>
        <v>500</v>
      </c>
      <c r="F48" s="6">
        <f>A48*'Provided Inputs'!B$3</f>
        <v>4000</v>
      </c>
      <c r="G48" s="6">
        <f>D48-SUM(E48:F48)</f>
        <v>-1800</v>
      </c>
      <c r="H48" s="7">
        <v>0.1</v>
      </c>
      <c r="I48" s="6">
        <f>G48*H48</f>
        <v>-180</v>
      </c>
    </row>
    <row r="49" spans="1:11">
      <c r="A49" s="7">
        <v>800</v>
      </c>
      <c r="B49" s="7">
        <v>400</v>
      </c>
      <c r="C49" s="5">
        <f>IF(B49&lt;=A49,B49,A49)</f>
        <v>400</v>
      </c>
      <c r="D49" s="6">
        <f>C49*'Provided Inputs'!B$4</f>
        <v>3600</v>
      </c>
      <c r="E49" s="8">
        <f>'Provided Inputs'!B$2</f>
        <v>500</v>
      </c>
      <c r="F49" s="6">
        <f>A49*'Provided Inputs'!B$3</f>
        <v>4000</v>
      </c>
      <c r="G49" s="6">
        <f t="shared" ref="G49:G53" si="10">D49-SUM(E49:F49)</f>
        <v>-900</v>
      </c>
      <c r="H49" s="7">
        <v>0.2</v>
      </c>
      <c r="I49" s="6">
        <f t="shared" ref="I49:I53" si="11">G49*H49</f>
        <v>-180</v>
      </c>
    </row>
    <row r="50" spans="1:11">
      <c r="A50" s="7">
        <v>800</v>
      </c>
      <c r="B50" s="7">
        <v>500</v>
      </c>
      <c r="C50" s="5">
        <f>IF(B50&lt;=A50,B50,A50)</f>
        <v>500</v>
      </c>
      <c r="D50" s="6">
        <f>C50*'Provided Inputs'!B$4</f>
        <v>4500</v>
      </c>
      <c r="E50" s="8">
        <f>'Provided Inputs'!B$2</f>
        <v>500</v>
      </c>
      <c r="F50" s="6">
        <f>A50*'Provided Inputs'!B$3</f>
        <v>4000</v>
      </c>
      <c r="G50" s="6">
        <f t="shared" si="10"/>
        <v>0</v>
      </c>
      <c r="H50" s="7">
        <v>0.25</v>
      </c>
      <c r="I50" s="6">
        <f t="shared" si="11"/>
        <v>0</v>
      </c>
    </row>
    <row r="51" spans="1:11">
      <c r="A51" s="7">
        <v>800</v>
      </c>
      <c r="B51" s="7">
        <v>600</v>
      </c>
      <c r="C51" s="5">
        <f>IF(B51&lt;=A51,B51,A51)</f>
        <v>600</v>
      </c>
      <c r="D51" s="6">
        <f>C51*'Provided Inputs'!B$4</f>
        <v>5400</v>
      </c>
      <c r="E51" s="8">
        <f>'Provided Inputs'!B$2</f>
        <v>500</v>
      </c>
      <c r="F51" s="6">
        <f>A51*'Provided Inputs'!B$3</f>
        <v>4000</v>
      </c>
      <c r="G51" s="6">
        <f t="shared" si="10"/>
        <v>900</v>
      </c>
      <c r="H51" s="7">
        <v>0.25</v>
      </c>
      <c r="I51" s="6">
        <f t="shared" si="11"/>
        <v>225</v>
      </c>
    </row>
    <row r="52" spans="1:11">
      <c r="A52" s="7">
        <v>800</v>
      </c>
      <c r="B52" s="7">
        <v>700</v>
      </c>
      <c r="C52" s="5">
        <f>IF(B52&lt;=A52,B52,A52)</f>
        <v>700</v>
      </c>
      <c r="D52" s="6">
        <f>C52*'Provided Inputs'!B$4</f>
        <v>6300</v>
      </c>
      <c r="E52" s="8">
        <f>'Provided Inputs'!B$2</f>
        <v>500</v>
      </c>
      <c r="F52" s="6">
        <f>A52*'Provided Inputs'!B$3</f>
        <v>4000</v>
      </c>
      <c r="G52" s="6">
        <f t="shared" si="10"/>
        <v>1800</v>
      </c>
      <c r="H52" s="7">
        <v>0.15</v>
      </c>
      <c r="I52" s="6">
        <f t="shared" si="11"/>
        <v>270</v>
      </c>
    </row>
    <row r="53" spans="1:11">
      <c r="A53" s="7">
        <v>800</v>
      </c>
      <c r="B53" s="7">
        <v>800</v>
      </c>
      <c r="C53" s="5">
        <f>IF(B53&lt;=A53,B53,A53)</f>
        <v>800</v>
      </c>
      <c r="D53" s="6">
        <f>C53*'Provided Inputs'!B$4</f>
        <v>7200</v>
      </c>
      <c r="E53" s="8">
        <f>'Provided Inputs'!B$2</f>
        <v>500</v>
      </c>
      <c r="F53" s="6">
        <f>A53*'Provided Inputs'!B$3</f>
        <v>4000</v>
      </c>
      <c r="G53" s="6">
        <f t="shared" si="10"/>
        <v>2700</v>
      </c>
      <c r="H53" s="7">
        <v>0.05</v>
      </c>
      <c r="I53" s="6">
        <f t="shared" si="11"/>
        <v>135</v>
      </c>
      <c r="J53" s="2" t="s">
        <v>14</v>
      </c>
      <c r="K53" s="3">
        <f>SUM(I48:I53)</f>
        <v>270</v>
      </c>
    </row>
    <row r="54" spans="1:11">
      <c r="A54" s="5"/>
      <c r="B54" s="7"/>
      <c r="C54" s="5"/>
      <c r="D54" s="5"/>
      <c r="E54" s="5"/>
      <c r="F54" s="5"/>
      <c r="G54" s="5"/>
      <c r="H54" s="5"/>
      <c r="I54" s="5"/>
    </row>
    <row r="55" spans="1:11" ht="15.75">
      <c r="A55" s="10" t="s">
        <v>20</v>
      </c>
      <c r="B55" s="10"/>
      <c r="C55" s="10"/>
      <c r="D55" s="10"/>
      <c r="E55" s="10"/>
      <c r="F55" s="10"/>
      <c r="G55" s="10"/>
      <c r="H55" s="10"/>
      <c r="I55" s="10"/>
    </row>
    <row r="56" spans="1:11">
      <c r="A56" s="4" t="s">
        <v>8</v>
      </c>
      <c r="B56" s="4" t="s">
        <v>9</v>
      </c>
      <c r="C56" s="4" t="s">
        <v>10</v>
      </c>
      <c r="D56" s="4" t="s">
        <v>11</v>
      </c>
      <c r="E56" s="4" t="s">
        <v>1</v>
      </c>
      <c r="F56" s="4" t="s">
        <v>2</v>
      </c>
      <c r="G56" s="4" t="s">
        <v>12</v>
      </c>
      <c r="H56" s="4" t="s">
        <v>6</v>
      </c>
      <c r="I56" s="4" t="s">
        <v>13</v>
      </c>
    </row>
    <row r="57" spans="1:11">
      <c r="A57" s="7">
        <v>300</v>
      </c>
      <c r="B57" s="7">
        <v>300</v>
      </c>
      <c r="C57" s="5">
        <f>IF(B57&lt;=A57,B57,A57)</f>
        <v>300</v>
      </c>
      <c r="D57" s="6">
        <f>C57*'Provided Inputs'!B$4</f>
        <v>2700</v>
      </c>
      <c r="E57" s="8">
        <f>'Provided Inputs'!B$2</f>
        <v>500</v>
      </c>
      <c r="F57" s="6">
        <f>A57*'Provided Inputs'!B$3</f>
        <v>1500</v>
      </c>
      <c r="G57" s="6">
        <f>D57-SUM(E57:F57)</f>
        <v>700</v>
      </c>
      <c r="H57" s="7">
        <v>0.1</v>
      </c>
      <c r="I57" s="6">
        <f>G57*H57</f>
        <v>70</v>
      </c>
    </row>
    <row r="58" spans="1:11">
      <c r="A58" s="7">
        <v>400</v>
      </c>
      <c r="B58" s="7">
        <v>400</v>
      </c>
      <c r="C58" s="5">
        <f>IF(B58&lt;=A58,B58,A58)</f>
        <v>400</v>
      </c>
      <c r="D58" s="6">
        <f>C58*'Provided Inputs'!B$4</f>
        <v>3600</v>
      </c>
      <c r="E58" s="8">
        <f>'Provided Inputs'!B$2</f>
        <v>500</v>
      </c>
      <c r="F58" s="6">
        <f>A58*'Provided Inputs'!B$3</f>
        <v>2000</v>
      </c>
      <c r="G58" s="6">
        <f t="shared" ref="G58:G62" si="12">D58-SUM(E58:F58)</f>
        <v>1100</v>
      </c>
      <c r="H58" s="7">
        <v>0.2</v>
      </c>
      <c r="I58" s="6">
        <f t="shared" ref="I58:I62" si="13">G58*H58</f>
        <v>220</v>
      </c>
    </row>
    <row r="59" spans="1:11">
      <c r="A59" s="7">
        <v>500</v>
      </c>
      <c r="B59" s="7">
        <v>500</v>
      </c>
      <c r="C59" s="5">
        <f>IF(B59&lt;=A59,B59,A59)</f>
        <v>500</v>
      </c>
      <c r="D59" s="6">
        <f>C59*'Provided Inputs'!B$4</f>
        <v>4500</v>
      </c>
      <c r="E59" s="8">
        <f>'Provided Inputs'!B$2</f>
        <v>500</v>
      </c>
      <c r="F59" s="6">
        <f>A59*'Provided Inputs'!B$3</f>
        <v>2500</v>
      </c>
      <c r="G59" s="6">
        <f t="shared" si="12"/>
        <v>1500</v>
      </c>
      <c r="H59" s="7">
        <v>0.25</v>
      </c>
      <c r="I59" s="6">
        <f t="shared" si="13"/>
        <v>375</v>
      </c>
    </row>
    <row r="60" spans="1:11">
      <c r="A60" s="7">
        <v>600</v>
      </c>
      <c r="B60" s="7">
        <v>600</v>
      </c>
      <c r="C60" s="5">
        <f>IF(B60&lt;=A60,B60,A60)</f>
        <v>600</v>
      </c>
      <c r="D60" s="6">
        <f>C60*'Provided Inputs'!B$4</f>
        <v>5400</v>
      </c>
      <c r="E60" s="8">
        <f>'Provided Inputs'!B$2</f>
        <v>500</v>
      </c>
      <c r="F60" s="6">
        <f>A60*'Provided Inputs'!B$3</f>
        <v>3000</v>
      </c>
      <c r="G60" s="6">
        <f t="shared" si="12"/>
        <v>1900</v>
      </c>
      <c r="H60" s="7">
        <v>0.25</v>
      </c>
      <c r="I60" s="6">
        <f t="shared" si="13"/>
        <v>475</v>
      </c>
    </row>
    <row r="61" spans="1:11">
      <c r="A61" s="7">
        <v>700</v>
      </c>
      <c r="B61" s="7">
        <v>700</v>
      </c>
      <c r="C61" s="5">
        <f>IF(B61&lt;=A61,B61,A61)</f>
        <v>700</v>
      </c>
      <c r="D61" s="6">
        <f>C61*'Provided Inputs'!B$4</f>
        <v>6300</v>
      </c>
      <c r="E61" s="8">
        <f>'Provided Inputs'!B$2</f>
        <v>500</v>
      </c>
      <c r="F61" s="6">
        <f>A61*'Provided Inputs'!B$3</f>
        <v>3500</v>
      </c>
      <c r="G61" s="6">
        <f t="shared" si="12"/>
        <v>2300</v>
      </c>
      <c r="H61" s="7">
        <v>0.15</v>
      </c>
      <c r="I61" s="6">
        <f t="shared" si="13"/>
        <v>345</v>
      </c>
    </row>
    <row r="62" spans="1:11">
      <c r="A62" s="7">
        <v>800</v>
      </c>
      <c r="B62" s="7">
        <v>800</v>
      </c>
      <c r="C62" s="5">
        <f>IF(B62&lt;=A62,B62,A62)</f>
        <v>800</v>
      </c>
      <c r="D62" s="6">
        <f>C62*'Provided Inputs'!B$4</f>
        <v>7200</v>
      </c>
      <c r="E62" s="8">
        <f>'Provided Inputs'!B$2</f>
        <v>500</v>
      </c>
      <c r="F62" s="6">
        <f>A62*'Provided Inputs'!B$3</f>
        <v>4000</v>
      </c>
      <c r="G62" s="6">
        <f t="shared" si="12"/>
        <v>2700</v>
      </c>
      <c r="H62" s="7">
        <v>0.05</v>
      </c>
      <c r="I62" s="6">
        <f t="shared" si="13"/>
        <v>135</v>
      </c>
      <c r="J62" s="2" t="s">
        <v>14</v>
      </c>
      <c r="K62" s="3">
        <f>SUM(I57:I62)</f>
        <v>1620</v>
      </c>
    </row>
  </sheetData>
  <mergeCells count="7">
    <mergeCell ref="A37:I37"/>
    <mergeCell ref="A46:I46"/>
    <mergeCell ref="A55:I55"/>
    <mergeCell ref="A1:I1"/>
    <mergeCell ref="A10:I10"/>
    <mergeCell ref="A19:I19"/>
    <mergeCell ref="A28:I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486A-1B19-4727-BB5F-CF14CB2C5E04}">
  <dimension ref="A1:R8"/>
  <sheetViews>
    <sheetView showGridLines="0" zoomScale="112" zoomScaleNormal="94" workbookViewId="0">
      <selection activeCell="F15" sqref="F15"/>
    </sheetView>
  </sheetViews>
  <sheetFormatPr defaultRowHeight="14.25"/>
  <cols>
    <col min="1" max="1" width="11.7109375" customWidth="1"/>
    <col min="2" max="2" width="13" customWidth="1"/>
    <col min="3" max="3" width="36.42578125" customWidth="1"/>
  </cols>
  <sheetData>
    <row r="1" spans="1:18" ht="15.75">
      <c r="A1" s="10" t="s">
        <v>21</v>
      </c>
      <c r="B1" s="10"/>
      <c r="C1" s="1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4" t="s">
        <v>5</v>
      </c>
      <c r="B2" s="4" t="s">
        <v>6</v>
      </c>
      <c r="C2" s="4" t="s">
        <v>22</v>
      </c>
    </row>
    <row r="3" spans="1:18">
      <c r="A3" s="9">
        <v>300</v>
      </c>
      <c r="B3" s="9">
        <v>0.1</v>
      </c>
      <c r="C3" s="6">
        <f>SUM('Pepp EMV Model'!I3:I8)</f>
        <v>700</v>
      </c>
    </row>
    <row r="4" spans="1:18">
      <c r="A4" s="9">
        <v>400</v>
      </c>
      <c r="B4" s="9">
        <v>0.2</v>
      </c>
      <c r="C4" s="6">
        <f>SUM('Pepp EMV Model'!I12:I17)</f>
        <v>1010</v>
      </c>
    </row>
    <row r="5" spans="1:18">
      <c r="A5" s="9">
        <v>500</v>
      </c>
      <c r="B5" s="9">
        <v>0.25</v>
      </c>
      <c r="C5" s="6">
        <f>SUM('Pepp EMV Model'!I21:I26)</f>
        <v>1140</v>
      </c>
    </row>
    <row r="6" spans="1:18">
      <c r="A6" s="9">
        <v>600</v>
      </c>
      <c r="B6" s="9">
        <v>0.25</v>
      </c>
      <c r="C6" s="6">
        <f>SUM('Pepp EMV Model'!I30:I35)</f>
        <v>1045</v>
      </c>
    </row>
    <row r="7" spans="1:18">
      <c r="A7" s="9">
        <v>700</v>
      </c>
      <c r="B7" s="9">
        <v>0.15</v>
      </c>
      <c r="C7" s="6">
        <f>SUM('Pepp EMV Model'!I39:I44)</f>
        <v>725</v>
      </c>
    </row>
    <row r="8" spans="1:18">
      <c r="A8" s="9">
        <v>800</v>
      </c>
      <c r="B8" s="9">
        <v>0.05</v>
      </c>
      <c r="C8" s="6">
        <f>SUM('Pepp EMV Model'!I48:I53)</f>
        <v>270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479FE7411E44CBB4239FA3250BC25" ma:contentTypeVersion="4" ma:contentTypeDescription="Create a new document." ma:contentTypeScope="" ma:versionID="b13efd656c789a878b3d9f44b9d60456">
  <xsd:schema xmlns:xsd="http://www.w3.org/2001/XMLSchema" xmlns:xs="http://www.w3.org/2001/XMLSchema" xmlns:p="http://schemas.microsoft.com/office/2006/metadata/properties" xmlns:ns3="0629fca7-b82b-47e3-9e78-5c2b080b753d" targetNamespace="http://schemas.microsoft.com/office/2006/metadata/properties" ma:root="true" ma:fieldsID="cb3dc1a0e3628a071263619f58a26d10" ns3:_="">
    <xsd:import namespace="0629fca7-b82b-47e3-9e78-5c2b080b75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9fca7-b82b-47e3-9e78-5c2b080b75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2A869D-7327-4C7F-A0BD-389396FE7DE9}"/>
</file>

<file path=customXml/itemProps2.xml><?xml version="1.0" encoding="utf-8"?>
<ds:datastoreItem xmlns:ds="http://schemas.openxmlformats.org/officeDocument/2006/customXml" ds:itemID="{A3E0A80A-D0D4-4FF6-8405-640A0DA28E79}"/>
</file>

<file path=customXml/itemProps3.xml><?xml version="1.0" encoding="utf-8"?>
<ds:datastoreItem xmlns:ds="http://schemas.openxmlformats.org/officeDocument/2006/customXml" ds:itemID="{20202C68-B3CD-43BD-BF35-46439F641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Fulton Bryant</dc:creator>
  <cp:keywords/>
  <dc:description/>
  <cp:lastModifiedBy>Jered Ross</cp:lastModifiedBy>
  <cp:revision/>
  <dcterms:created xsi:type="dcterms:W3CDTF">2026-01-27T18:37:57Z</dcterms:created>
  <dcterms:modified xsi:type="dcterms:W3CDTF">2026-03-13T16:49:50Z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0x0101009AA479FE7411E44CBB4239FA3250BC25</vt:lpwstr>
  </property>
</Properties>
</file>